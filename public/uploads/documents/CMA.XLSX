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215" activeTab="4"/>
  </bookViews>
  <sheets>
    <sheet name="Assumptions" sheetId="1" r:id="rId1"/>
    <sheet name="BS " sheetId="2" r:id="rId2"/>
    <sheet name="Cash Flow" sheetId="3" r:id="rId3"/>
    <sheet name="P&amp;L" sheetId="4" r:id="rId4"/>
    <sheet name="DSCR" sheetId="5" r:id="rId5"/>
  </sheets>
  <definedNames>
    <definedName name="_xlnm.Print_Area" localSheetId="1">'BS '!$A$6:$L$73</definedName>
    <definedName name="_xlnm.Print_Area" localSheetId="4">DSCR!$A$3:$F$40</definedName>
    <definedName name="_xlnm.Print_Area" localSheetId="3">'P&amp;L'!$A$3:$L$37</definedName>
    <definedName name="Z_11BEB04D_1A23_4527_ACBF_620757BD312B_.wvu.Cols" localSheetId="4" hidden="1">DSCR!#REF!</definedName>
    <definedName name="Z_11BEB04D_1A23_4527_ACBF_620757BD312B_.wvu.PrintArea" localSheetId="4" hidden="1">DSCR!$A$3:$C$40</definedName>
    <definedName name="Z_11BEB04D_1A23_4527_ACBF_620757BD312B_.wvu.Rows" localSheetId="0" hidden="1">Assumptions!#REF!</definedName>
    <definedName name="Z_11BEB04D_1A23_4527_ACBF_620757BD312B_.wvu.Rows" localSheetId="1" hidden="1">'BS '!#REF!</definedName>
    <definedName name="Z_363F3F0D_7F2A_4282_9B5D_DD907B339F1D_.wvu.Cols" localSheetId="4" hidden="1">DSCR!#REF!</definedName>
    <definedName name="Z_363F3F0D_7F2A_4282_9B5D_DD907B339F1D_.wvu.PrintArea" localSheetId="4" hidden="1">DSCR!$A$3:$B$40</definedName>
    <definedName name="Z_77A985A9_9E2D_41DB_BF9A_E3574F1F7F4D_.wvu.Cols" localSheetId="4" hidden="1">DSCR!#REF!</definedName>
    <definedName name="Z_77A985A9_9E2D_41DB_BF9A_E3574F1F7F4D_.wvu.PrintArea" localSheetId="4" hidden="1">DSCR!$A$3:$B$40</definedName>
    <definedName name="Z_7BD9A9F8_FA0A_44DB_92D1_29ECE2CC6384_.wvu.Cols" localSheetId="4" hidden="1">DSCR!#REF!</definedName>
    <definedName name="Z_7BD9A9F8_FA0A_44DB_92D1_29ECE2CC6384_.wvu.PrintArea" localSheetId="4" hidden="1">DSCR!$A$3:$B$40</definedName>
    <definedName name="Z_FE5C574F_B362_4F92_930F_951F085EFE7F_.wvu.Cols" localSheetId="4" hidden="1">DSCR!#REF!</definedName>
    <definedName name="Z_FE5C574F_B362_4F92_930F_951F085EFE7F_.wvu.PrintArea" localSheetId="4" hidden="1">DSCR!$A$3:$C$40</definedName>
    <definedName name="Z_FE5C574F_B362_4F92_930F_951F085EFE7F_.wvu.Rows" localSheetId="0" hidden="1">Assumptions!#REF!</definedName>
    <definedName name="Z_FE5C574F_B362_4F92_930F_951F085EFE7F_.wvu.Rows" localSheetId="1" hidden="1">'BS '!#REF!</definedName>
  </definedNames>
  <calcPr calcId="145621"/>
</workbook>
</file>

<file path=xl/calcChain.xml><?xml version="1.0" encoding="utf-8"?>
<calcChain xmlns="http://schemas.openxmlformats.org/spreadsheetml/2006/main">
  <c r="C38" i="5" l="1"/>
  <c r="C35" i="5"/>
  <c r="D31" i="5"/>
  <c r="C36" i="5"/>
  <c r="C11" i="5" s="1"/>
  <c r="C26" i="5"/>
  <c r="J17" i="5"/>
  <c r="I17" i="5"/>
  <c r="H17" i="5"/>
  <c r="G17" i="5"/>
  <c r="F17" i="5"/>
  <c r="E17" i="5"/>
  <c r="D17" i="5"/>
  <c r="C17" i="5"/>
  <c r="J14" i="5"/>
  <c r="I14" i="5"/>
  <c r="H14" i="5"/>
  <c r="G14" i="5"/>
  <c r="F14" i="5"/>
  <c r="E14" i="5"/>
  <c r="D14" i="5"/>
  <c r="C14" i="5"/>
  <c r="C13" i="5"/>
  <c r="C18" i="5" s="1"/>
  <c r="F30" i="4"/>
  <c r="F34" i="4" s="1"/>
  <c r="I27" i="5"/>
  <c r="E27" i="5"/>
  <c r="K26" i="4"/>
  <c r="C23" i="4"/>
  <c r="C30" i="4" s="1"/>
  <c r="C34" i="4" s="1"/>
  <c r="C37" i="4" s="1"/>
  <c r="J21" i="4"/>
  <c r="J23" i="4" s="1"/>
  <c r="J30" i="4" s="1"/>
  <c r="I21" i="4"/>
  <c r="G21" i="4"/>
  <c r="F21" i="4"/>
  <c r="E21" i="4"/>
  <c r="D21" i="4"/>
  <c r="C21" i="4"/>
  <c r="K17" i="4"/>
  <c r="R14" i="4"/>
  <c r="N14" i="4"/>
  <c r="K14" i="4"/>
  <c r="J14" i="4"/>
  <c r="I14" i="4"/>
  <c r="G14" i="4"/>
  <c r="G23" i="4" s="1"/>
  <c r="G30" i="4" s="1"/>
  <c r="G34" i="4" s="1"/>
  <c r="F14" i="4"/>
  <c r="F23" i="4" s="1"/>
  <c r="E14" i="4"/>
  <c r="D14" i="4"/>
  <c r="C14" i="4"/>
  <c r="M14" i="4"/>
  <c r="A8" i="4"/>
  <c r="A9" i="4" s="1"/>
  <c r="A10" i="4" s="1"/>
  <c r="A11" i="4" s="1"/>
  <c r="A12" i="4" s="1"/>
  <c r="R5" i="4"/>
  <c r="Q5" i="4"/>
  <c r="P5" i="4"/>
  <c r="O5" i="4"/>
  <c r="N5" i="4"/>
  <c r="M5" i="4"/>
  <c r="L5" i="4"/>
  <c r="J5" i="4"/>
  <c r="I5" i="4"/>
  <c r="R4" i="4"/>
  <c r="Q4" i="4"/>
  <c r="P4" i="4"/>
  <c r="O4" i="4"/>
  <c r="N4" i="4"/>
  <c r="M4" i="4"/>
  <c r="L4" i="4"/>
  <c r="J4" i="4"/>
  <c r="I4" i="4"/>
  <c r="C49" i="3"/>
  <c r="D46" i="3"/>
  <c r="C46" i="3"/>
  <c r="D45" i="3"/>
  <c r="D39" i="3"/>
  <c r="C39" i="3"/>
  <c r="H38" i="3"/>
  <c r="E38" i="3"/>
  <c r="D38" i="3"/>
  <c r="C38" i="3"/>
  <c r="D37" i="3"/>
  <c r="C37" i="3"/>
  <c r="D34" i="3"/>
  <c r="C34" i="3"/>
  <c r="D33" i="3"/>
  <c r="C33" i="3"/>
  <c r="C41" i="3" s="1"/>
  <c r="D29" i="3"/>
  <c r="C26" i="3"/>
  <c r="C29" i="3" s="1"/>
  <c r="C18" i="3"/>
  <c r="C17" i="3"/>
  <c r="C16" i="3"/>
  <c r="C15" i="3"/>
  <c r="D10" i="3"/>
  <c r="C10" i="3"/>
  <c r="F8" i="3"/>
  <c r="D8" i="3"/>
  <c r="C8" i="3"/>
  <c r="D7" i="3"/>
  <c r="C7" i="3"/>
  <c r="D2" i="3"/>
  <c r="G73" i="2"/>
  <c r="F73" i="2"/>
  <c r="K71" i="2"/>
  <c r="J71" i="2"/>
  <c r="J73" i="2" s="1"/>
  <c r="I71" i="2"/>
  <c r="H71" i="2"/>
  <c r="G71" i="2"/>
  <c r="F71" i="2"/>
  <c r="E71" i="2"/>
  <c r="E73" i="2" s="1"/>
  <c r="D71" i="2"/>
  <c r="C71" i="2"/>
  <c r="C73" i="2" s="1"/>
  <c r="L70" i="2"/>
  <c r="K70" i="2"/>
  <c r="G70" i="2"/>
  <c r="O68" i="2"/>
  <c r="P68" i="2" s="1"/>
  <c r="Q68" i="2" s="1"/>
  <c r="R68" i="2" s="1"/>
  <c r="N68" i="2"/>
  <c r="M68" i="2"/>
  <c r="L68" i="2"/>
  <c r="G66" i="2"/>
  <c r="N65" i="2"/>
  <c r="O65" i="2" s="1"/>
  <c r="P65" i="2" s="1"/>
  <c r="Q65" i="2" s="1"/>
  <c r="R65" i="2" s="1"/>
  <c r="M65" i="2"/>
  <c r="L65" i="2"/>
  <c r="M64" i="2"/>
  <c r="L64" i="2"/>
  <c r="J59" i="2"/>
  <c r="H59" i="2"/>
  <c r="G59" i="2"/>
  <c r="F59" i="2"/>
  <c r="E59" i="2"/>
  <c r="D59" i="2"/>
  <c r="C59" i="2"/>
  <c r="K57" i="2"/>
  <c r="L57" i="2" s="1"/>
  <c r="M57" i="2" s="1"/>
  <c r="N57" i="2" s="1"/>
  <c r="O57" i="2" s="1"/>
  <c r="P57" i="2" s="1"/>
  <c r="Q57" i="2" s="1"/>
  <c r="R57" i="2" s="1"/>
  <c r="K56" i="2"/>
  <c r="L56" i="2" s="1"/>
  <c r="M56" i="2" s="1"/>
  <c r="N56" i="2" s="1"/>
  <c r="O56" i="2" s="1"/>
  <c r="P56" i="2" s="1"/>
  <c r="Q56" i="2" s="1"/>
  <c r="R56" i="2" s="1"/>
  <c r="K55" i="2"/>
  <c r="R52" i="2"/>
  <c r="O52" i="2"/>
  <c r="P52" i="2" s="1"/>
  <c r="Q52" i="2" s="1"/>
  <c r="N52" i="2"/>
  <c r="M52" i="2"/>
  <c r="E46" i="3"/>
  <c r="J47" i="2"/>
  <c r="I47" i="2"/>
  <c r="H47" i="2"/>
  <c r="G47" i="2"/>
  <c r="F47" i="2"/>
  <c r="E47" i="2"/>
  <c r="D47" i="2"/>
  <c r="C47" i="2"/>
  <c r="K46" i="2"/>
  <c r="L45" i="2"/>
  <c r="L46" i="2" s="1"/>
  <c r="K45" i="2"/>
  <c r="D26" i="3" s="1"/>
  <c r="J41" i="2"/>
  <c r="I41" i="2"/>
  <c r="H41" i="2"/>
  <c r="F41" i="2"/>
  <c r="E41" i="2"/>
  <c r="D41" i="2"/>
  <c r="C41" i="2"/>
  <c r="L39" i="2"/>
  <c r="M39" i="2" s="1"/>
  <c r="N39" i="2" s="1"/>
  <c r="G10" i="3" s="1"/>
  <c r="K38" i="2"/>
  <c r="N35" i="2"/>
  <c r="O35" i="2" s="1"/>
  <c r="P35" i="2" s="1"/>
  <c r="Q35" i="2" s="1"/>
  <c r="R35" i="2" s="1"/>
  <c r="M35" i="2"/>
  <c r="L35" i="2"/>
  <c r="G35" i="2"/>
  <c r="K34" i="2"/>
  <c r="M33" i="2"/>
  <c r="N33" i="2" s="1"/>
  <c r="O33" i="2" s="1"/>
  <c r="P33" i="2" s="1"/>
  <c r="Q33" i="2" s="1"/>
  <c r="R33" i="2" s="1"/>
  <c r="L33" i="2"/>
  <c r="A32" i="2"/>
  <c r="K29" i="2"/>
  <c r="G29" i="2"/>
  <c r="G41" i="2" s="1"/>
  <c r="J28" i="2"/>
  <c r="I28" i="2"/>
  <c r="H28" i="2"/>
  <c r="G28" i="2"/>
  <c r="F28" i="2"/>
  <c r="E28" i="2"/>
  <c r="D28" i="2"/>
  <c r="C28" i="2"/>
  <c r="M27" i="2"/>
  <c r="L27" i="2"/>
  <c r="L26" i="2"/>
  <c r="J8" i="3"/>
  <c r="K23" i="2"/>
  <c r="J38" i="3"/>
  <c r="I38" i="3"/>
  <c r="F38" i="3"/>
  <c r="L16" i="2"/>
  <c r="K14" i="2"/>
  <c r="J14" i="2"/>
  <c r="J19" i="2" s="1"/>
  <c r="H14" i="2"/>
  <c r="G14" i="2"/>
  <c r="F14" i="2"/>
  <c r="F19" i="2" s="1"/>
  <c r="E14" i="2"/>
  <c r="C14" i="2"/>
  <c r="I13" i="2"/>
  <c r="K11" i="2"/>
  <c r="K19" i="2" s="1"/>
  <c r="J11" i="2"/>
  <c r="I11" i="2"/>
  <c r="H11" i="2"/>
  <c r="H19" i="2" s="1"/>
  <c r="H42" i="2" s="1"/>
  <c r="G11" i="2"/>
  <c r="F11" i="2"/>
  <c r="E11" i="2"/>
  <c r="D11" i="2"/>
  <c r="C11" i="2"/>
  <c r="C19" i="2" s="1"/>
  <c r="R8" i="2"/>
  <c r="J9" i="5" s="1"/>
  <c r="Q8" i="2"/>
  <c r="I9" i="5" s="1"/>
  <c r="P8" i="2"/>
  <c r="H9" i="5" s="1"/>
  <c r="O8" i="2"/>
  <c r="G9" i="5" s="1"/>
  <c r="N8" i="2"/>
  <c r="F9" i="5" s="1"/>
  <c r="M8" i="2"/>
  <c r="E9" i="5" s="1"/>
  <c r="L8" i="2"/>
  <c r="D9" i="5" s="1"/>
  <c r="J8" i="2"/>
  <c r="I8" i="2"/>
  <c r="R7" i="2"/>
  <c r="Q7" i="2"/>
  <c r="I8" i="5" s="1"/>
  <c r="P7" i="2"/>
  <c r="O7" i="2"/>
  <c r="N7" i="2"/>
  <c r="M7" i="2"/>
  <c r="L7" i="2"/>
  <c r="D8" i="5" s="1"/>
  <c r="J7" i="2"/>
  <c r="C2" i="3" s="1"/>
  <c r="I7" i="2"/>
  <c r="AV96" i="1"/>
  <c r="D96" i="1"/>
  <c r="D98" i="1" s="1"/>
  <c r="C96" i="1"/>
  <c r="C98" i="1" s="1"/>
  <c r="B96" i="1"/>
  <c r="B98" i="1" s="1"/>
  <c r="G63" i="1"/>
  <c r="F63" i="1"/>
  <c r="C63" i="1"/>
  <c r="E60" i="1"/>
  <c r="D58" i="1"/>
  <c r="I63" i="1"/>
  <c r="E63" i="1"/>
  <c r="AV51" i="1"/>
  <c r="AV53" i="1"/>
  <c r="AV97" i="1" s="1"/>
  <c r="C44" i="1"/>
  <c r="F40" i="1"/>
  <c r="K41" i="1" s="1"/>
  <c r="E40" i="1"/>
  <c r="J41" i="1" s="1"/>
  <c r="B40" i="1"/>
  <c r="I35" i="1"/>
  <c r="J35" i="1" s="1"/>
  <c r="K35" i="1" s="1"/>
  <c r="H35" i="1"/>
  <c r="B35" i="1"/>
  <c r="AV33" i="1"/>
  <c r="H33" i="1"/>
  <c r="I33" i="1" s="1"/>
  <c r="J33" i="1" s="1"/>
  <c r="K33" i="1" s="1"/>
  <c r="G33" i="1"/>
  <c r="F33" i="1"/>
  <c r="D33" i="1"/>
  <c r="AV32" i="1"/>
  <c r="K32" i="1"/>
  <c r="J32" i="1"/>
  <c r="I32" i="1"/>
  <c r="H32" i="1"/>
  <c r="G32" i="1"/>
  <c r="F32" i="1"/>
  <c r="E32" i="1"/>
  <c r="D32" i="1"/>
  <c r="C32" i="1"/>
  <c r="B32" i="1"/>
  <c r="AV31" i="1"/>
  <c r="K31" i="1"/>
  <c r="D31" i="1"/>
  <c r="E31" i="1" s="1"/>
  <c r="F31" i="1" s="1"/>
  <c r="G31" i="1" s="1"/>
  <c r="H31" i="1" s="1"/>
  <c r="I31" i="1" s="1"/>
  <c r="J31" i="1" s="1"/>
  <c r="AV29" i="1"/>
  <c r="K29" i="1"/>
  <c r="J29" i="1"/>
  <c r="I29" i="1"/>
  <c r="H29" i="1"/>
  <c r="G29" i="1"/>
  <c r="F29" i="1"/>
  <c r="D29" i="1"/>
  <c r="C29" i="1"/>
  <c r="B29" i="1"/>
  <c r="AV28" i="1"/>
  <c r="D28" i="1"/>
  <c r="E28" i="1" s="1"/>
  <c r="F28" i="1" s="1"/>
  <c r="G28" i="1" s="1"/>
  <c r="H28" i="1" s="1"/>
  <c r="I28" i="1" s="1"/>
  <c r="J28" i="1" s="1"/>
  <c r="K28" i="1" s="1"/>
  <c r="AV27" i="1"/>
  <c r="K27" i="1"/>
  <c r="J27" i="1"/>
  <c r="I27" i="1"/>
  <c r="H27" i="1"/>
  <c r="G27" i="1"/>
  <c r="F27" i="1"/>
  <c r="E27" i="1"/>
  <c r="D27" i="1"/>
  <c r="C27" i="1"/>
  <c r="B27" i="1"/>
  <c r="AV25" i="1"/>
  <c r="K25" i="1"/>
  <c r="J25" i="1"/>
  <c r="I25" i="1"/>
  <c r="H25" i="1"/>
  <c r="G25" i="1"/>
  <c r="F25" i="1"/>
  <c r="E25" i="1"/>
  <c r="L12" i="2" s="1"/>
  <c r="D25" i="1"/>
  <c r="C25" i="1"/>
  <c r="B25" i="1"/>
  <c r="AW23" i="1"/>
  <c r="AV23" i="1"/>
  <c r="F23" i="1"/>
  <c r="G23" i="1" s="1"/>
  <c r="H23" i="1" s="1"/>
  <c r="I23" i="1" s="1"/>
  <c r="J23" i="1" s="1"/>
  <c r="K23" i="1" s="1"/>
  <c r="D23" i="1"/>
  <c r="E23" i="1" s="1"/>
  <c r="AV22" i="1"/>
  <c r="H22" i="1"/>
  <c r="I22" i="1" s="1"/>
  <c r="J22" i="1" s="1"/>
  <c r="K22" i="1" s="1"/>
  <c r="G22" i="1"/>
  <c r="C22" i="1"/>
  <c r="AV21" i="1"/>
  <c r="D21" i="1"/>
  <c r="E21" i="1" s="1"/>
  <c r="F21" i="1" s="1"/>
  <c r="G21" i="1" s="1"/>
  <c r="H21" i="1" s="1"/>
  <c r="I21" i="1" s="1"/>
  <c r="J21" i="1" s="1"/>
  <c r="K21" i="1" s="1"/>
  <c r="AV20" i="1"/>
  <c r="G20" i="1"/>
  <c r="H20" i="1" s="1"/>
  <c r="I20" i="1" s="1"/>
  <c r="J20" i="1" s="1"/>
  <c r="K20" i="1" s="1"/>
  <c r="D20" i="1"/>
  <c r="E20" i="1" s="1"/>
  <c r="F20" i="1" s="1"/>
  <c r="AV19" i="1"/>
  <c r="I19" i="1"/>
  <c r="J19" i="1" s="1"/>
  <c r="K19" i="1" s="1"/>
  <c r="H19" i="1"/>
  <c r="F19" i="1"/>
  <c r="G19" i="1" s="1"/>
  <c r="AV12" i="1"/>
  <c r="D12" i="1"/>
  <c r="C12" i="1"/>
  <c r="B12" i="1"/>
  <c r="AV11" i="1"/>
  <c r="AV10" i="1"/>
  <c r="E10" i="1"/>
  <c r="F10" i="1" s="1"/>
  <c r="G10" i="1" s="1"/>
  <c r="H10" i="1" s="1"/>
  <c r="I10" i="1" s="1"/>
  <c r="J10" i="1" s="1"/>
  <c r="K10" i="1" s="1"/>
  <c r="AV9" i="1"/>
  <c r="E9" i="1"/>
  <c r="F9" i="1" s="1"/>
  <c r="G9" i="1" s="1"/>
  <c r="H9" i="1" s="1"/>
  <c r="I9" i="1" s="1"/>
  <c r="J9" i="1" s="1"/>
  <c r="K9" i="1" s="1"/>
  <c r="K8" i="1"/>
  <c r="G8" i="1"/>
  <c r="H8" i="1" s="1"/>
  <c r="I8" i="1" s="1"/>
  <c r="J8" i="1" s="1"/>
  <c r="E8" i="1"/>
  <c r="E4" i="1"/>
  <c r="AV3" i="1"/>
  <c r="AV7" i="1" s="1"/>
  <c r="D3" i="1"/>
  <c r="B3" i="1"/>
  <c r="E12" i="1" l="1"/>
  <c r="F4" i="1"/>
  <c r="L24" i="4"/>
  <c r="G40" i="1"/>
  <c r="D14" i="1"/>
  <c r="D13" i="1"/>
  <c r="I41" i="1"/>
  <c r="F96" i="1"/>
  <c r="E29" i="1"/>
  <c r="J63" i="1"/>
  <c r="G19" i="2"/>
  <c r="L28" i="2"/>
  <c r="E37" i="3"/>
  <c r="I37" i="3"/>
  <c r="F39" i="3"/>
  <c r="K8" i="3"/>
  <c r="M26" i="2"/>
  <c r="M28" i="2" s="1"/>
  <c r="C42" i="2"/>
  <c r="C5" i="2" s="1"/>
  <c r="D73" i="2"/>
  <c r="H73" i="2"/>
  <c r="H5" i="2" s="1"/>
  <c r="G8" i="3"/>
  <c r="E26" i="3"/>
  <c r="E29" i="3" s="1"/>
  <c r="H46" i="3"/>
  <c r="E33" i="3"/>
  <c r="M12" i="2"/>
  <c r="C40" i="1"/>
  <c r="H41" i="1" s="1"/>
  <c r="G96" i="1"/>
  <c r="K63" i="1"/>
  <c r="E96" i="1"/>
  <c r="K46" i="3"/>
  <c r="E2" i="3"/>
  <c r="C5" i="3"/>
  <c r="C12" i="3" s="1"/>
  <c r="C20" i="3" s="1"/>
  <c r="C44" i="3" s="1"/>
  <c r="H8" i="5"/>
  <c r="I2" i="3"/>
  <c r="D18" i="3"/>
  <c r="L47" i="2"/>
  <c r="G35" i="5"/>
  <c r="H31" i="5" s="1"/>
  <c r="D15" i="3"/>
  <c r="M71" i="2"/>
  <c r="N64" i="2"/>
  <c r="J2" i="3"/>
  <c r="E8" i="5"/>
  <c r="F2" i="3"/>
  <c r="L11" i="2"/>
  <c r="M45" i="2"/>
  <c r="D35" i="5"/>
  <c r="E15" i="3"/>
  <c r="L55" i="2"/>
  <c r="J37" i="3"/>
  <c r="D63" i="1"/>
  <c r="H63" i="1"/>
  <c r="F8" i="5"/>
  <c r="G2" i="3"/>
  <c r="J8" i="5"/>
  <c r="K2" i="3"/>
  <c r="E34" i="3"/>
  <c r="M16" i="2"/>
  <c r="F37" i="3"/>
  <c r="G38" i="3"/>
  <c r="K38" i="3"/>
  <c r="H8" i="3"/>
  <c r="G42" i="2"/>
  <c r="G5" i="2" s="1"/>
  <c r="N41" i="2"/>
  <c r="J42" i="2"/>
  <c r="J5" i="2" s="1"/>
  <c r="F46" i="3"/>
  <c r="J46" i="3"/>
  <c r="M70" i="2"/>
  <c r="F16" i="3" s="1"/>
  <c r="E10" i="3"/>
  <c r="G38" i="5"/>
  <c r="G13" i="5" s="1"/>
  <c r="G18" i="5" s="1"/>
  <c r="O21" i="4"/>
  <c r="K21" i="4"/>
  <c r="G8" i="5"/>
  <c r="H2" i="3"/>
  <c r="E19" i="2"/>
  <c r="E42" i="2" s="1"/>
  <c r="E5" i="2" s="1"/>
  <c r="E8" i="3"/>
  <c r="I8" i="3"/>
  <c r="N27" i="2"/>
  <c r="K41" i="2"/>
  <c r="O41" i="2"/>
  <c r="O39" i="2"/>
  <c r="F42" i="2"/>
  <c r="F5" i="2" s="1"/>
  <c r="G46" i="3"/>
  <c r="L71" i="2"/>
  <c r="F10" i="3"/>
  <c r="G37" i="4"/>
  <c r="G36" i="4"/>
  <c r="C27" i="5"/>
  <c r="G27" i="5"/>
  <c r="G37" i="3"/>
  <c r="K37" i="3"/>
  <c r="K28" i="2"/>
  <c r="E35" i="5"/>
  <c r="F31" i="5" s="1"/>
  <c r="I35" i="5"/>
  <c r="J31" i="5" s="1"/>
  <c r="D16" i="3"/>
  <c r="D41" i="3"/>
  <c r="L14" i="4"/>
  <c r="P14" i="4"/>
  <c r="D23" i="4"/>
  <c r="D30" i="4" s="1"/>
  <c r="D34" i="4" s="1"/>
  <c r="I23" i="4"/>
  <c r="I30" i="4" s="1"/>
  <c r="I34" i="4" s="1"/>
  <c r="C36" i="4"/>
  <c r="H37" i="3"/>
  <c r="E39" i="3"/>
  <c r="L34" i="2"/>
  <c r="M34" i="2" s="1"/>
  <c r="N34" i="2" s="1"/>
  <c r="O34" i="2" s="1"/>
  <c r="P34" i="2" s="1"/>
  <c r="Q34" i="2" s="1"/>
  <c r="R34" i="2" s="1"/>
  <c r="I46" i="3"/>
  <c r="F35" i="5"/>
  <c r="G31" i="5" s="1"/>
  <c r="G36" i="5" s="1"/>
  <c r="J35" i="5"/>
  <c r="D17" i="3"/>
  <c r="E23" i="4"/>
  <c r="E30" i="4" s="1"/>
  <c r="E34" i="4" s="1"/>
  <c r="Q14" i="4"/>
  <c r="R21" i="4"/>
  <c r="R23" i="4" s="1"/>
  <c r="F36" i="4"/>
  <c r="F37" i="4"/>
  <c r="K23" i="4"/>
  <c r="K30" i="4" s="1"/>
  <c r="O14" i="4"/>
  <c r="C19" i="5"/>
  <c r="G19" i="5"/>
  <c r="J38" i="5"/>
  <c r="J13" i="5" s="1"/>
  <c r="J18" i="5" s="1"/>
  <c r="J19" i="5" s="1"/>
  <c r="L21" i="4"/>
  <c r="P21" i="4"/>
  <c r="D27" i="5"/>
  <c r="H27" i="5"/>
  <c r="F27" i="5"/>
  <c r="J27" i="5"/>
  <c r="E31" i="5" l="1"/>
  <c r="E36" i="5" s="1"/>
  <c r="D36" i="5"/>
  <c r="G11" i="5"/>
  <c r="L23" i="4"/>
  <c r="L30" i="4" s="1"/>
  <c r="F38" i="5"/>
  <c r="F13" i="5" s="1"/>
  <c r="F18" i="5" s="1"/>
  <c r="F19" i="5" s="1"/>
  <c r="O23" i="4"/>
  <c r="N21" i="4"/>
  <c r="N23" i="4" s="1"/>
  <c r="D36" i="4"/>
  <c r="D37" i="4"/>
  <c r="D15" i="2"/>
  <c r="D14" i="2" s="1"/>
  <c r="D19" i="2" s="1"/>
  <c r="D42" i="2" s="1"/>
  <c r="D5" i="2" s="1"/>
  <c r="J36" i="5"/>
  <c r="E16" i="3"/>
  <c r="M55" i="2"/>
  <c r="H35" i="5"/>
  <c r="I31" i="5" s="1"/>
  <c r="I36" i="5" s="1"/>
  <c r="E17" i="3"/>
  <c r="E41" i="3"/>
  <c r="D38" i="5"/>
  <c r="D13" i="5" s="1"/>
  <c r="D18" i="5" s="1"/>
  <c r="D19" i="5" s="1"/>
  <c r="D15" i="1"/>
  <c r="D16" i="1" s="1"/>
  <c r="D26" i="5"/>
  <c r="E7" i="3"/>
  <c r="K34" i="4"/>
  <c r="D5" i="3"/>
  <c r="D12" i="3" s="1"/>
  <c r="D20" i="3" s="1"/>
  <c r="I36" i="4"/>
  <c r="J33" i="4"/>
  <c r="J34" i="4" s="1"/>
  <c r="R22" i="4"/>
  <c r="M33" i="4"/>
  <c r="P22" i="4"/>
  <c r="I37" i="4"/>
  <c r="N22" i="4" s="1"/>
  <c r="N33" i="4"/>
  <c r="O22" i="4"/>
  <c r="M22" i="4"/>
  <c r="R33" i="4"/>
  <c r="Q22" i="4"/>
  <c r="P33" i="4"/>
  <c r="I15" i="2"/>
  <c r="I14" i="2" s="1"/>
  <c r="I19" i="2" s="1"/>
  <c r="I42" i="2" s="1"/>
  <c r="B45" i="1"/>
  <c r="E37" i="4"/>
  <c r="E36" i="4"/>
  <c r="P23" i="4"/>
  <c r="D44" i="3"/>
  <c r="D47" i="3" s="1"/>
  <c r="H10" i="3"/>
  <c r="P39" i="2"/>
  <c r="N70" i="2"/>
  <c r="O27" i="2"/>
  <c r="I38" i="5"/>
  <c r="I13" i="5" s="1"/>
  <c r="I18" i="5" s="1"/>
  <c r="I19" i="5" s="1"/>
  <c r="Q21" i="4"/>
  <c r="Q23" i="4" s="1"/>
  <c r="F26" i="3"/>
  <c r="F29" i="3" s="1"/>
  <c r="N45" i="2"/>
  <c r="O64" i="2"/>
  <c r="G16" i="3"/>
  <c r="N71" i="2"/>
  <c r="G39" i="3"/>
  <c r="M41" i="2"/>
  <c r="F12" i="1"/>
  <c r="G4" i="1"/>
  <c r="F36" i="5"/>
  <c r="E38" i="5"/>
  <c r="E13" i="5" s="1"/>
  <c r="E18" i="5" s="1"/>
  <c r="E19" i="5" s="1"/>
  <c r="M21" i="4"/>
  <c r="M23" i="4" s="1"/>
  <c r="H38" i="5"/>
  <c r="H13" i="5" s="1"/>
  <c r="H18" i="5" s="1"/>
  <c r="H19" i="5" s="1"/>
  <c r="N26" i="2"/>
  <c r="F17" i="3"/>
  <c r="E14" i="1"/>
  <c r="E13" i="1"/>
  <c r="K42" i="2"/>
  <c r="N16" i="2"/>
  <c r="F34" i="3"/>
  <c r="L41" i="2"/>
  <c r="F33" i="3"/>
  <c r="F41" i="3" s="1"/>
  <c r="M11" i="2"/>
  <c r="N12" i="2"/>
  <c r="M46" i="2"/>
  <c r="O16" i="2" l="1"/>
  <c r="G34" i="3"/>
  <c r="F11" i="5"/>
  <c r="G26" i="3"/>
  <c r="G29" i="3" s="1"/>
  <c r="O45" i="2"/>
  <c r="K50" i="2"/>
  <c r="O26" i="2"/>
  <c r="G17" i="3"/>
  <c r="N28" i="2"/>
  <c r="I50" i="2"/>
  <c r="I11" i="5"/>
  <c r="E11" i="5"/>
  <c r="H4" i="1"/>
  <c r="G12" i="1"/>
  <c r="O70" i="2"/>
  <c r="P27" i="2"/>
  <c r="H39" i="3"/>
  <c r="Q33" i="4"/>
  <c r="O33" i="4"/>
  <c r="N55" i="2"/>
  <c r="F15" i="3"/>
  <c r="M24" i="4"/>
  <c r="N46" i="2"/>
  <c r="N47" i="2" s="1"/>
  <c r="P64" i="2"/>
  <c r="O71" i="2"/>
  <c r="Q39" i="2"/>
  <c r="I10" i="3"/>
  <c r="J37" i="4"/>
  <c r="J36" i="4"/>
  <c r="C45" i="1"/>
  <c r="J11" i="5"/>
  <c r="L34" i="4"/>
  <c r="L31" i="4"/>
  <c r="E5" i="3"/>
  <c r="E12" i="3" s="1"/>
  <c r="P41" i="2"/>
  <c r="G33" i="3"/>
  <c r="G41" i="3" s="1"/>
  <c r="O12" i="2"/>
  <c r="N11" i="2"/>
  <c r="H36" i="5"/>
  <c r="E15" i="1"/>
  <c r="E16" i="1" s="1"/>
  <c r="M30" i="4"/>
  <c r="F13" i="1"/>
  <c r="F14" i="1" s="1"/>
  <c r="M47" i="2"/>
  <c r="J22" i="4"/>
  <c r="L33" i="4"/>
  <c r="L22" i="4"/>
  <c r="C25" i="5"/>
  <c r="C28" i="5" s="1"/>
  <c r="C10" i="5" s="1"/>
  <c r="K36" i="4"/>
  <c r="K37" i="4"/>
  <c r="D11" i="5"/>
  <c r="H33" i="3" l="1"/>
  <c r="O11" i="2"/>
  <c r="P12" i="2"/>
  <c r="H11" i="5"/>
  <c r="E20" i="3"/>
  <c r="E44" i="3" s="1"/>
  <c r="E47" i="3" s="1"/>
  <c r="H16" i="3"/>
  <c r="E26" i="5"/>
  <c r="F7" i="3"/>
  <c r="G13" i="1"/>
  <c r="C45" i="3"/>
  <c r="C47" i="3" s="1"/>
  <c r="C50" i="3" s="1"/>
  <c r="I59" i="2"/>
  <c r="I73" i="2" s="1"/>
  <c r="B44" i="1"/>
  <c r="L37" i="4"/>
  <c r="D25" i="5"/>
  <c r="D28" i="5" s="1"/>
  <c r="D10" i="5" s="1"/>
  <c r="L15" i="2"/>
  <c r="L36" i="4"/>
  <c r="L17" i="2"/>
  <c r="E51" i="1"/>
  <c r="E45" i="1"/>
  <c r="F15" i="1"/>
  <c r="F16" i="1" s="1"/>
  <c r="Q64" i="2"/>
  <c r="O55" i="2"/>
  <c r="G15" i="3"/>
  <c r="M31" i="4"/>
  <c r="M34" i="4"/>
  <c r="F5" i="3"/>
  <c r="F12" i="3" s="1"/>
  <c r="E18" i="3"/>
  <c r="R39" i="2"/>
  <c r="J10" i="3"/>
  <c r="Q41" i="2"/>
  <c r="I4" i="1"/>
  <c r="H12" i="1"/>
  <c r="H17" i="3"/>
  <c r="P26" i="2"/>
  <c r="O28" i="2"/>
  <c r="C15" i="5"/>
  <c r="C21" i="5" s="1"/>
  <c r="D49" i="3"/>
  <c r="D50" i="3" s="1"/>
  <c r="E45" i="3"/>
  <c r="K59" i="2"/>
  <c r="D44" i="1"/>
  <c r="E48" i="1" s="1"/>
  <c r="H26" i="3"/>
  <c r="H29" i="3" s="1"/>
  <c r="P45" i="2"/>
  <c r="H34" i="3"/>
  <c r="P16" i="2"/>
  <c r="P70" i="2"/>
  <c r="Q27" i="2"/>
  <c r="I39" i="3"/>
  <c r="N24" i="4"/>
  <c r="O46" i="2"/>
  <c r="Q70" i="2" l="1"/>
  <c r="R27" i="2"/>
  <c r="J39" i="3"/>
  <c r="I34" i="3"/>
  <c r="Q16" i="2"/>
  <c r="I12" i="1"/>
  <c r="J4" i="1"/>
  <c r="K10" i="3"/>
  <c r="R41" i="2"/>
  <c r="O24" i="4"/>
  <c r="P46" i="2"/>
  <c r="P71" i="2"/>
  <c r="E53" i="1"/>
  <c r="E98" i="1" s="1"/>
  <c r="I33" i="3"/>
  <c r="I41" i="3" s="1"/>
  <c r="Q12" i="2"/>
  <c r="P11" i="2"/>
  <c r="F26" i="5"/>
  <c r="G7" i="3"/>
  <c r="N30" i="4"/>
  <c r="I26" i="3"/>
  <c r="I29" i="3" s="1"/>
  <c r="Q45" i="2"/>
  <c r="K73" i="2"/>
  <c r="K5" i="2" s="1"/>
  <c r="M36" i="4"/>
  <c r="E25" i="5"/>
  <c r="E28" i="5" s="1"/>
  <c r="E10" i="5" s="1"/>
  <c r="M37" i="4"/>
  <c r="F51" i="1"/>
  <c r="F45" i="1"/>
  <c r="I16" i="3"/>
  <c r="M17" i="2"/>
  <c r="G15" i="1"/>
  <c r="G16" i="1"/>
  <c r="Q71" i="2"/>
  <c r="R64" i="2"/>
  <c r="J16" i="3"/>
  <c r="I5" i="2"/>
  <c r="P55" i="2"/>
  <c r="H15" i="3"/>
  <c r="M15" i="2"/>
  <c r="L14" i="2"/>
  <c r="L19" i="2" s="1"/>
  <c r="O47" i="2"/>
  <c r="I17" i="3"/>
  <c r="Q26" i="2"/>
  <c r="P28" i="2"/>
  <c r="H14" i="1"/>
  <c r="H13" i="1"/>
  <c r="F18" i="3"/>
  <c r="F20" i="3" s="1"/>
  <c r="F44" i="3" s="1"/>
  <c r="G14" i="1"/>
  <c r="H41" i="3"/>
  <c r="M14" i="2" l="1"/>
  <c r="M19" i="2" s="1"/>
  <c r="P24" i="4"/>
  <c r="Q46" i="2"/>
  <c r="I13" i="1"/>
  <c r="R70" i="2"/>
  <c r="K39" i="3"/>
  <c r="K16" i="3"/>
  <c r="R71" i="2"/>
  <c r="P47" i="2"/>
  <c r="G26" i="5"/>
  <c r="H7" i="3"/>
  <c r="O30" i="4"/>
  <c r="R16" i="2"/>
  <c r="K34" i="3" s="1"/>
  <c r="J34" i="3"/>
  <c r="R26" i="2"/>
  <c r="J17" i="3"/>
  <c r="Q28" i="2"/>
  <c r="Q55" i="2"/>
  <c r="I15" i="3"/>
  <c r="J12" i="1"/>
  <c r="K4" i="1"/>
  <c r="R45" i="2"/>
  <c r="Q47" i="2"/>
  <c r="J26" i="3"/>
  <c r="J29" i="3" s="1"/>
  <c r="H15" i="1"/>
  <c r="H16" i="1" s="1"/>
  <c r="L42" i="2"/>
  <c r="N31" i="4"/>
  <c r="G5" i="3"/>
  <c r="G12" i="3" s="1"/>
  <c r="J33" i="3"/>
  <c r="J41" i="3" s="1"/>
  <c r="R12" i="2"/>
  <c r="Q11" i="2"/>
  <c r="L50" i="2" l="1"/>
  <c r="K26" i="3"/>
  <c r="K29" i="3" s="1"/>
  <c r="R47" i="2"/>
  <c r="R55" i="2"/>
  <c r="J15" i="3"/>
  <c r="K17" i="3"/>
  <c r="R28" i="2"/>
  <c r="Q24" i="4"/>
  <c r="R46" i="2"/>
  <c r="R24" i="4" s="1"/>
  <c r="M42" i="2"/>
  <c r="G18" i="3"/>
  <c r="K12" i="1"/>
  <c r="O31" i="4"/>
  <c r="O34" i="4"/>
  <c r="H5" i="3"/>
  <c r="H12" i="3" s="1"/>
  <c r="I16" i="1"/>
  <c r="I15" i="1"/>
  <c r="H26" i="5"/>
  <c r="I7" i="3"/>
  <c r="P30" i="4"/>
  <c r="G20" i="3"/>
  <c r="G44" i="3" s="1"/>
  <c r="R11" i="2"/>
  <c r="K33" i="3"/>
  <c r="K41" i="3" s="1"/>
  <c r="N34" i="4"/>
  <c r="J14" i="1"/>
  <c r="J13" i="1"/>
  <c r="I14" i="1"/>
  <c r="K13" i="1" l="1"/>
  <c r="M50" i="2"/>
  <c r="I26" i="5"/>
  <c r="J7" i="3"/>
  <c r="Q30" i="4"/>
  <c r="N37" i="4"/>
  <c r="F25" i="5"/>
  <c r="F28" i="5" s="1"/>
  <c r="F10" i="5" s="1"/>
  <c r="N36" i="4"/>
  <c r="G45" i="1"/>
  <c r="G51" i="1"/>
  <c r="N17" i="2"/>
  <c r="O17" i="2" s="1"/>
  <c r="G25" i="5"/>
  <c r="G28" i="5" s="1"/>
  <c r="G10" i="5" s="1"/>
  <c r="O36" i="4"/>
  <c r="O37" i="4"/>
  <c r="H45" i="1"/>
  <c r="H51" i="1"/>
  <c r="J16" i="1"/>
  <c r="J15" i="1"/>
  <c r="H18" i="3"/>
  <c r="J26" i="5"/>
  <c r="K7" i="3"/>
  <c r="R30" i="4"/>
  <c r="K15" i="3"/>
  <c r="D12" i="5"/>
  <c r="D15" i="5" s="1"/>
  <c r="F45" i="3"/>
  <c r="F47" i="3" s="1"/>
  <c r="E49" i="3"/>
  <c r="E50" i="3" s="1"/>
  <c r="E44" i="1"/>
  <c r="F48" i="1" s="1"/>
  <c r="F53" i="1" s="1"/>
  <c r="F98" i="1" s="1"/>
  <c r="L59" i="2"/>
  <c r="H20" i="3"/>
  <c r="H44" i="3" s="1"/>
  <c r="P31" i="4"/>
  <c r="I5" i="3"/>
  <c r="I12" i="3" s="1"/>
  <c r="I20" i="3" l="1"/>
  <c r="I44" i="3" s="1"/>
  <c r="F50" i="3"/>
  <c r="L73" i="2"/>
  <c r="Q31" i="4"/>
  <c r="J5" i="3"/>
  <c r="J12" i="3" s="1"/>
  <c r="E12" i="5"/>
  <c r="E15" i="5" s="1"/>
  <c r="E21" i="5" s="1"/>
  <c r="G45" i="3"/>
  <c r="G47" i="3" s="1"/>
  <c r="M59" i="2"/>
  <c r="F49" i="3"/>
  <c r="F44" i="1"/>
  <c r="G48" i="1" s="1"/>
  <c r="G53" i="1" s="1"/>
  <c r="G98" i="1" s="1"/>
  <c r="K16" i="1"/>
  <c r="K15" i="1"/>
  <c r="D21" i="5"/>
  <c r="I18" i="3"/>
  <c r="P34" i="4"/>
  <c r="P17" i="2" s="1"/>
  <c r="K5" i="3"/>
  <c r="K12" i="3" s="1"/>
  <c r="R31" i="4"/>
  <c r="R34" i="4" s="1"/>
  <c r="N15" i="2"/>
  <c r="K14" i="1"/>
  <c r="R37" i="4" l="1"/>
  <c r="J25" i="5"/>
  <c r="J28" i="5" s="1"/>
  <c r="J10" i="5" s="1"/>
  <c r="R36" i="4"/>
  <c r="K45" i="1"/>
  <c r="K51" i="1"/>
  <c r="N14" i="2"/>
  <c r="N19" i="2" s="1"/>
  <c r="O15" i="2"/>
  <c r="J20" i="3"/>
  <c r="J44" i="3" s="1"/>
  <c r="K18" i="3"/>
  <c r="K20" i="3" s="1"/>
  <c r="K44" i="3" s="1"/>
  <c r="J18" i="3"/>
  <c r="P37" i="4"/>
  <c r="H25" i="5"/>
  <c r="H28" i="5" s="1"/>
  <c r="H10" i="5" s="1"/>
  <c r="P36" i="4"/>
  <c r="I51" i="1"/>
  <c r="I45" i="1"/>
  <c r="L5" i="2"/>
  <c r="Q34" i="4"/>
  <c r="M73" i="2"/>
  <c r="P15" i="2" l="1"/>
  <c r="O14" i="2"/>
  <c r="O19" i="2" s="1"/>
  <c r="N42" i="2"/>
  <c r="Q36" i="4"/>
  <c r="I25" i="5"/>
  <c r="I28" i="5" s="1"/>
  <c r="I10" i="5" s="1"/>
  <c r="Q37" i="4"/>
  <c r="J51" i="1"/>
  <c r="J45" i="1"/>
  <c r="M5" i="2"/>
  <c r="Q17" i="2"/>
  <c r="R17" i="2" s="1"/>
  <c r="Q15" i="2" l="1"/>
  <c r="P14" i="2"/>
  <c r="P19" i="2" s="1"/>
  <c r="N50" i="2"/>
  <c r="O42" i="2"/>
  <c r="O50" i="2" l="1"/>
  <c r="F12" i="5"/>
  <c r="F15" i="5" s="1"/>
  <c r="G49" i="3"/>
  <c r="G50" i="3" s="1"/>
  <c r="H45" i="3"/>
  <c r="H47" i="3" s="1"/>
  <c r="N59" i="2"/>
  <c r="G44" i="1"/>
  <c r="H48" i="1" s="1"/>
  <c r="H53" i="1" s="1"/>
  <c r="P42" i="2"/>
  <c r="Q14" i="2"/>
  <c r="Q19" i="2" s="1"/>
  <c r="R15" i="2"/>
  <c r="R14" i="2" s="1"/>
  <c r="R19" i="2" s="1"/>
  <c r="F21" i="5" l="1"/>
  <c r="Q42" i="2"/>
  <c r="P50" i="2"/>
  <c r="N73" i="2"/>
  <c r="R42" i="2"/>
  <c r="G12" i="5"/>
  <c r="G15" i="5" s="1"/>
  <c r="G21" i="5" s="1"/>
  <c r="H49" i="3"/>
  <c r="H50" i="3" s="1"/>
  <c r="I45" i="3"/>
  <c r="I47" i="3" s="1"/>
  <c r="H44" i="1"/>
  <c r="I48" i="1" s="1"/>
  <c r="I53" i="1" s="1"/>
  <c r="O59" i="2"/>
  <c r="R50" i="2" l="1"/>
  <c r="Q50" i="2"/>
  <c r="O73" i="2"/>
  <c r="H12" i="5"/>
  <c r="H15" i="5" s="1"/>
  <c r="H21" i="5" s="1"/>
  <c r="J45" i="3"/>
  <c r="J47" i="3" s="1"/>
  <c r="I49" i="3"/>
  <c r="I50" i="3" s="1"/>
  <c r="P59" i="2"/>
  <c r="I44" i="1"/>
  <c r="J48" i="1" s="1"/>
  <c r="J53" i="1" s="1"/>
  <c r="N5" i="2"/>
  <c r="J50" i="3" l="1"/>
  <c r="I12" i="5"/>
  <c r="I15" i="5" s="1"/>
  <c r="I21" i="5" s="1"/>
  <c r="K45" i="3"/>
  <c r="K47" i="3" s="1"/>
  <c r="K50" i="3" s="1"/>
  <c r="J49" i="3"/>
  <c r="Q59" i="2"/>
  <c r="J44" i="1"/>
  <c r="K48" i="1" s="1"/>
  <c r="K53" i="1" s="1"/>
  <c r="J12" i="5"/>
  <c r="J15" i="5" s="1"/>
  <c r="J21" i="5" s="1"/>
  <c r="K49" i="3"/>
  <c r="R59" i="2"/>
  <c r="K44" i="1"/>
  <c r="P73" i="2"/>
  <c r="O5" i="2"/>
  <c r="R73" i="2" l="1"/>
  <c r="C22" i="5"/>
  <c r="Q73" i="2"/>
  <c r="P5" i="2"/>
  <c r="R5" i="2" l="1"/>
  <c r="Q5" i="2"/>
</calcChain>
</file>

<file path=xl/sharedStrings.xml><?xml version="1.0" encoding="utf-8"?>
<sst xmlns="http://schemas.openxmlformats.org/spreadsheetml/2006/main" count="297" uniqueCount="239">
  <si>
    <t>Particular (Rs. in Crores)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</si>
  <si>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</si>
  <si>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</si>
  <si>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</si>
  <si>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</si>
  <si>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</si>
  <si>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</si>
  <si>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</si>
  <si>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</si>
  <si>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</si>
  <si>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2026-27</t>
  </si>
  <si>
    <t>Audited</t>
  </si>
  <si>
    <t>Projected</t>
  </si>
  <si>
    <t>Growth in business</t>
  </si>
  <si>
    <t>Business</t>
  </si>
  <si>
    <t>State</t>
  </si>
  <si>
    <t>Branches</t>
  </si>
  <si>
    <t>Manpower</t>
  </si>
  <si>
    <t>Average Tenor</t>
  </si>
  <si>
    <t>Precloser %</t>
  </si>
  <si>
    <t>Assigned assets as % of business</t>
  </si>
  <si>
    <t>Assignment</t>
  </si>
  <si>
    <t>Direct Assignment (50%)</t>
  </si>
  <si>
    <t>Assignment through PTC Strcuture balance (50%)</t>
  </si>
  <si>
    <t>Collections Against DA</t>
  </si>
  <si>
    <t>Run Down DA</t>
  </si>
  <si>
    <t>Run Down PTC Pool</t>
  </si>
  <si>
    <t>AssiFnment Primum</t>
  </si>
  <si>
    <t>Effective Assignment Rate</t>
  </si>
  <si>
    <t>New FD for Assignment</t>
  </si>
  <si>
    <t>MMR for Assignment</t>
  </si>
  <si>
    <t>IRR</t>
  </si>
  <si>
    <t>Collection ratio</t>
  </si>
  <si>
    <t>Additional Tire-I capital</t>
  </si>
  <si>
    <t>Premum rate of Issue</t>
  </si>
  <si>
    <t>Additional Tire-II capital</t>
  </si>
  <si>
    <t>Cost of Tire-II</t>
  </si>
  <si>
    <t>New TL taken</t>
  </si>
  <si>
    <t>FD for new TL</t>
  </si>
  <si>
    <t>Rate on TL</t>
  </si>
  <si>
    <t>New CC taken</t>
  </si>
  <si>
    <t>Average rate on CC</t>
  </si>
  <si>
    <t>FD for new CC</t>
  </si>
  <si>
    <t>Addition in FA</t>
  </si>
  <si>
    <t>% of GNPA</t>
  </si>
  <si>
    <t>% of NNPA</t>
  </si>
  <si>
    <t>GNPA Amount</t>
  </si>
  <si>
    <t>NNPA</t>
  </si>
  <si>
    <t>Cash Bal</t>
  </si>
  <si>
    <t>PAT</t>
  </si>
  <si>
    <t>Funding requirement</t>
  </si>
  <si>
    <t>Opening Cash &amp; Bank</t>
  </si>
  <si>
    <t>Disb.</t>
  </si>
  <si>
    <t>Add: Term Loan Repayment</t>
  </si>
  <si>
    <t xml:space="preserve">less: PAT Current Year </t>
  </si>
  <si>
    <t>Less: principal collection</t>
  </si>
  <si>
    <t>of which</t>
  </si>
  <si>
    <t xml:space="preserve">        Assignment</t>
  </si>
  <si>
    <t xml:space="preserve">        Tier II</t>
  </si>
  <si>
    <t>Unsecured</t>
  </si>
  <si>
    <t xml:space="preserve">        Cash Credit</t>
  </si>
  <si>
    <t xml:space="preserve">        fresh capital</t>
  </si>
  <si>
    <t xml:space="preserve">        Net Term Loan </t>
  </si>
  <si>
    <t>Total</t>
  </si>
  <si>
    <t>Excess Borrowing</t>
  </si>
  <si>
    <t>Ess Kay Fincorp Limited</t>
  </si>
  <si>
    <t>(Formerly Know as Ess Kay Auto Finance Private Limited)</t>
  </si>
  <si>
    <t>Balance Sheet</t>
  </si>
  <si>
    <t>Rs. in crores</t>
  </si>
  <si>
    <t>Sr.</t>
  </si>
  <si>
    <t>Particulars</t>
  </si>
  <si>
    <t>2012-13</t>
  </si>
  <si>
    <t>2013-14</t>
  </si>
  <si>
    <t>2014-15</t>
  </si>
  <si>
    <t>2015-16</t>
  </si>
  <si>
    <t>2016-17</t>
  </si>
  <si>
    <t>A.</t>
  </si>
  <si>
    <t>Liabilities</t>
  </si>
  <si>
    <t xml:space="preserve">a. </t>
  </si>
  <si>
    <t>Share Capital</t>
  </si>
  <si>
    <t>1.a</t>
  </si>
  <si>
    <t>Equity Capital</t>
  </si>
  <si>
    <t>1.b</t>
  </si>
  <si>
    <t>Prefrence Capital</t>
  </si>
  <si>
    <t>Reserves &amp; Surplus</t>
  </si>
  <si>
    <t>2.a</t>
  </si>
  <si>
    <t xml:space="preserve">  Profit and Loss Account</t>
  </si>
  <si>
    <t>2.b</t>
  </si>
  <si>
    <t xml:space="preserve">  Share Premium A/c</t>
  </si>
  <si>
    <t>2.c</t>
  </si>
  <si>
    <t xml:space="preserve">  Statutory Reserve </t>
  </si>
  <si>
    <t>2.d</t>
  </si>
  <si>
    <t xml:space="preserve">  Share Application Money </t>
  </si>
  <si>
    <t>Net Worth</t>
  </si>
  <si>
    <t>b.</t>
  </si>
  <si>
    <t>Non Current Liabilities</t>
  </si>
  <si>
    <t>Tier II Capital</t>
  </si>
  <si>
    <t xml:space="preserve">Other Unsecured Loans </t>
  </si>
  <si>
    <t>T/L payable after 1 yr.</t>
  </si>
  <si>
    <t>Provisions of Standard Assets</t>
  </si>
  <si>
    <t xml:space="preserve">Provisions for NPA </t>
  </si>
  <si>
    <t>Other Long Term Provision</t>
  </si>
  <si>
    <t>Other long Term liability</t>
  </si>
  <si>
    <t>Total Non Current Liabilities</t>
  </si>
  <si>
    <t>T/L payable within 1 yr.</t>
  </si>
  <si>
    <t>Cash Credit limit / WCDL</t>
  </si>
  <si>
    <t>Other Short Term borrowing</t>
  </si>
  <si>
    <t>Other advances</t>
  </si>
  <si>
    <t>Statutory Liabilities</t>
  </si>
  <si>
    <t>Other current Liabilities</t>
  </si>
  <si>
    <t>Provisions for Standard assets (short term)</t>
  </si>
  <si>
    <t>Provision for Tax</t>
  </si>
  <si>
    <t>Provision for Employee Benefit</t>
  </si>
  <si>
    <t>Other Provisions (Short term)</t>
  </si>
  <si>
    <t>Current Liabilities</t>
  </si>
  <si>
    <t>Total Liabilities</t>
  </si>
  <si>
    <t>B</t>
  </si>
  <si>
    <t>Assets</t>
  </si>
  <si>
    <t>Fixed Assets:</t>
  </si>
  <si>
    <t>Gross Block</t>
  </si>
  <si>
    <t>Less: Depreciation</t>
  </si>
  <si>
    <t>Net Block</t>
  </si>
  <si>
    <t>CWIP</t>
  </si>
  <si>
    <t>Current Assets</t>
  </si>
  <si>
    <t>Cash &amp; Bank Balance</t>
  </si>
  <si>
    <t>Security FDRs With Banks</t>
  </si>
  <si>
    <t xml:space="preserve">Security Deposits </t>
  </si>
  <si>
    <t>Debtors o/s less than 6 months</t>
  </si>
  <si>
    <t>Loan to customers (Short Term)</t>
  </si>
  <si>
    <t>Advances to staff</t>
  </si>
  <si>
    <t>Other loans &amp; advances</t>
  </si>
  <si>
    <t>Other current assets</t>
  </si>
  <si>
    <t xml:space="preserve">Liquid Investment </t>
  </si>
  <si>
    <t>Total current assets</t>
  </si>
  <si>
    <t>Non-current assets</t>
  </si>
  <si>
    <t>Debtors o/s more than 6 months</t>
  </si>
  <si>
    <t>FDR (Margin money)</t>
  </si>
  <si>
    <t>Investment in subsidiary cos.</t>
  </si>
  <si>
    <t>Other Investments</t>
  </si>
  <si>
    <t>Security deposits</t>
  </si>
  <si>
    <t>Loan to customers (long term)</t>
  </si>
  <si>
    <t>Misc./preliminary expenditure</t>
  </si>
  <si>
    <t>Deferred Tax Assets/ (Liability)</t>
  </si>
  <si>
    <t>Term deposits</t>
  </si>
  <si>
    <t>Other Non current assets</t>
  </si>
  <si>
    <t>Total non-current assets</t>
  </si>
  <si>
    <t>Total Assets</t>
  </si>
  <si>
    <t>Rs. in Crore</t>
  </si>
  <si>
    <t>CASH FLOW ARISING FROM OPERATING ACTIVITIES:</t>
  </si>
  <si>
    <t>NET PROFIT BRFORE TAX AS PER P&amp;L A/C</t>
  </si>
  <si>
    <t>ADJUSTMENT FOR:</t>
  </si>
  <si>
    <t>Depreciation and Amortisation</t>
  </si>
  <si>
    <t>Provisions  on Advances</t>
  </si>
  <si>
    <t>Loss on Sale of Fixed Assets</t>
  </si>
  <si>
    <t>Provision for employee  benefits</t>
  </si>
  <si>
    <t>Operating Profit before working capital Changes</t>
  </si>
  <si>
    <t>ADJUSTMENT FOR CHANGES IN WORKING CAPITAL</t>
  </si>
  <si>
    <t xml:space="preserve">(Increase)/ Decrease in  Current  Assets Loans advances </t>
  </si>
  <si>
    <t xml:space="preserve">(Increase)/ Decrease in  Non Current  Assets Loans advances </t>
  </si>
  <si>
    <t>Increase/ (Decrease) in  Current Liabilities</t>
  </si>
  <si>
    <t>Net Taxes Paid</t>
  </si>
  <si>
    <t>Net Cash Flows from  Operating activities (A)</t>
  </si>
  <si>
    <t>CASH FLOW ARISING FROM INVESTING ACTIVITIES:</t>
  </si>
  <si>
    <t>Inflow/ (Outflow) on account of:</t>
  </si>
  <si>
    <t>Purchase of Fixed Assets</t>
  </si>
  <si>
    <t>Sale of Fixed Assets</t>
  </si>
  <si>
    <t>Investment under PTC securities</t>
  </si>
  <si>
    <t>Net cash flow in cases of Investing Activities(B)</t>
  </si>
  <si>
    <t>CASH FLOW ARISING FROM FINANCING ACTIVITIES</t>
  </si>
  <si>
    <t>Proceeds from Issue of Share Capital</t>
  </si>
  <si>
    <t xml:space="preserve">Proceeds from  Share Premium </t>
  </si>
  <si>
    <t>IND AS Adustment</t>
  </si>
  <si>
    <t>Share Application Money</t>
  </si>
  <si>
    <t>Unsecured Non Covertiable  Debentures</t>
  </si>
  <si>
    <t>Increase/ ( Decrease) in Unsecured Loans</t>
  </si>
  <si>
    <t>Increase in  Secured Loans (including Cash Credit)</t>
  </si>
  <si>
    <t>Net Cash flow in cases of Financing Activities (c)</t>
  </si>
  <si>
    <t>Net Increase/(Decrease) in Cash and Cash equivalent (A+B+C)</t>
  </si>
  <si>
    <t>Cash and cash equivalent as at the beginning of the year</t>
  </si>
  <si>
    <t>Bank deposit  not considered as cash or cash equivalent</t>
  </si>
  <si>
    <t>Net  cash or cash equivalent as defined in AS-3</t>
  </si>
  <si>
    <t>A</t>
  </si>
  <si>
    <t>Income:</t>
  </si>
  <si>
    <t>Interest on own books</t>
  </si>
  <si>
    <t>Income on other loans/ FDRs</t>
  </si>
  <si>
    <t>Income from securitisation</t>
  </si>
  <si>
    <t>Income on closer</t>
  </si>
  <si>
    <t>Processing Charges</t>
  </si>
  <si>
    <t>Insurance division income</t>
  </si>
  <si>
    <t>Expenses:</t>
  </si>
  <si>
    <t>Employee Remuneration &amp; Benefits</t>
  </si>
  <si>
    <t>Admin &amp; Other Expenses</t>
  </si>
  <si>
    <t>Interest Cost</t>
  </si>
  <si>
    <t>Other Financial Cost</t>
  </si>
  <si>
    <t>C</t>
  </si>
  <si>
    <t>Operating Income</t>
  </si>
  <si>
    <t>Depreciation</t>
  </si>
  <si>
    <t>Loss on sale of fixed assets/shares</t>
  </si>
  <si>
    <t>Provisions</t>
  </si>
  <si>
    <t>Writeoffs /OTS/Repo loss</t>
  </si>
  <si>
    <t>Misc. exp. Written off</t>
  </si>
  <si>
    <t>Prior period expenses</t>
  </si>
  <si>
    <t>D</t>
  </si>
  <si>
    <t>PBT</t>
  </si>
  <si>
    <t>Direct Income Tax</t>
  </si>
  <si>
    <t>Deferred Income Tax</t>
  </si>
  <si>
    <t>Fringe Benefit Tax/PY Income tax</t>
  </si>
  <si>
    <t>E</t>
  </si>
  <si>
    <t>Dividend</t>
  </si>
  <si>
    <t>F</t>
  </si>
  <si>
    <t>Retained Profit</t>
  </si>
  <si>
    <t>G</t>
  </si>
  <si>
    <t>Cash Accruals</t>
  </si>
  <si>
    <t>Ess Kay Fincorp Private Limited</t>
  </si>
  <si>
    <t>(Formerly Known as Ess Kay Auto Finance Limited)</t>
  </si>
  <si>
    <t>Calculation of DSCR</t>
  </si>
  <si>
    <t>(Rs in Crore)</t>
  </si>
  <si>
    <t>Cash Profit</t>
  </si>
  <si>
    <t xml:space="preserve">Add: Collection received </t>
  </si>
  <si>
    <t>Add: Existing Liquidity Buffer</t>
  </si>
  <si>
    <t>Add: Interest on Term Loan &amp; Tier II Capital</t>
  </si>
  <si>
    <t>Add: Fresh Equity Infusion</t>
  </si>
  <si>
    <t>Total Cash accruals (A)</t>
  </si>
  <si>
    <t>Repayment of TL</t>
  </si>
  <si>
    <t>Payment of Interest</t>
  </si>
  <si>
    <t>Total Repayment Obligation (B)</t>
  </si>
  <si>
    <t>DSCR (A/B)</t>
  </si>
  <si>
    <t>Average DSCR</t>
  </si>
  <si>
    <t>Caculation of cash Profit</t>
  </si>
  <si>
    <t>Add: Depriciation</t>
  </si>
  <si>
    <t>Add: Provisions</t>
  </si>
  <si>
    <t>Calculation of Collection Received</t>
  </si>
  <si>
    <t xml:space="preserve">Opening POS </t>
  </si>
  <si>
    <t>Add: Disbursement</t>
  </si>
  <si>
    <t>Less: Securitized POS</t>
  </si>
  <si>
    <t>Less:  Closing POS own books</t>
  </si>
  <si>
    <t>Collection from customers</t>
  </si>
  <si>
    <t>Calculation of Interest paid on Term Loan &amp; Tier II capital</t>
  </si>
  <si>
    <t xml:space="preserve">Repayment of TL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</si>
</sst>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0.0%"/>
    <numFmt numFmtId="165" formatCode="0.000%"/>
    <numFmt numFmtId="166" formatCode="0.0000%"/>
    <numFmt numFmtId="167" formatCode="_(* #,##0.0_);_(* \(#,##0.0\);_(* &quot;-&quot;??_);_(@_)"/>
    <numFmt numFmtId="168" formatCode="#,##0.0"/>
    <numFmt numFmtId="169" formatCode="[$-409]d\-mmm\-yy;@"/>
    <numFmt numFmtId="170" formatCode="0.0000000"/>
    <numFmt numFmtId="171" formatCode="0.000000000"/>
    <numFmt numFmtId="172" formatCode="#,##0.000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Book Antiqua"/>
      <family val="1"/>
    </font>
    <font>
      <sz val="10"/>
      <color theme="1"/>
      <name val="Book Antiqua"/>
      <family val="1"/>
    </font>
    <font>
      <sz val="10"/>
      <name val="Book Antiqua"/>
      <family val="1"/>
    </font>
    <font>
      <sz val="10"/>
      <name val="Arial"/>
      <family val="2"/>
    </font>
    <font>
      <sz val="10"/>
      <color theme="1"/>
      <name val="Book Antiqua"/>
      <family val="2"/>
    </font>
    <font>
      <sz val="11"/>
      <color rgb="FF000000"/>
      <name val="Calibri"/>
      <family val="2"/>
      <charset val="1"/>
    </font>
    <font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172" fontId="12" fillId="0" borderId="0"/>
    <xf numFmtId="0" fontId="13" fillId="0" borderId="0"/>
    <xf numFmtId="0" fontId="14" fillId="0" borderId="0"/>
    <xf numFmtId="0" fontId="15" fillId="0" borderId="0"/>
    <xf numFmtId="9" fontId="12" fillId="0" borderId="0" applyFont="0" applyFill="0" applyBorder="0" applyAlignment="0" applyProtection="0"/>
  </cellStyleXfs>
  <cellXfs count="210">
    <xf numFmtId="0" fontId="0" fillId="0" borderId="0" xfId="0"/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0" xfId="0" applyFill="1" applyBorder="1"/>
    <xf numFmtId="0" fontId="5" fillId="0" borderId="0" xfId="0" applyFont="1" applyFill="1" applyBorder="1"/>
    <xf numFmtId="0" fontId="4" fillId="0" borderId="3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10" fontId="0" fillId="0" borderId="0" xfId="0" applyNumberFormat="1" applyFill="1" applyBorder="1" applyAlignment="1">
      <alignment horizontal="right" vertical="center"/>
    </xf>
    <xf numFmtId="9" fontId="0" fillId="0" borderId="0" xfId="0" applyNumberFormat="1" applyFill="1" applyBorder="1" applyAlignment="1">
      <alignment horizontal="right" vertical="center"/>
    </xf>
    <xf numFmtId="164" fontId="0" fillId="0" borderId="0" xfId="0" applyNumberFormat="1" applyFill="1" applyBorder="1" applyAlignment="1">
      <alignment horizontal="right" vertical="center"/>
    </xf>
    <xf numFmtId="10" fontId="0" fillId="0" borderId="0" xfId="0" applyNumberFormat="1" applyFill="1" applyBorder="1" applyAlignment="1">
      <alignment horizontal="center"/>
    </xf>
    <xf numFmtId="10" fontId="5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right" vertical="center"/>
    </xf>
    <xf numFmtId="9" fontId="0" fillId="0" borderId="0" xfId="0" applyNumberFormat="1" applyFill="1" applyBorder="1"/>
    <xf numFmtId="0" fontId="5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" fontId="0" fillId="0" borderId="0" xfId="0" applyNumberFormat="1" applyFill="1" applyBorder="1" applyAlignment="1">
      <alignment horizontal="right" vertical="center"/>
    </xf>
    <xf numFmtId="43" fontId="0" fillId="0" borderId="0" xfId="1" applyFon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" fontId="5" fillId="0" borderId="0" xfId="0" applyNumberFormat="1" applyFont="1" applyFill="1" applyBorder="1" applyAlignment="1">
      <alignment horizontal="center"/>
    </xf>
    <xf numFmtId="9" fontId="0" fillId="0" borderId="0" xfId="2" applyNumberFormat="1" applyFont="1" applyFill="1" applyBorder="1" applyAlignment="1">
      <alignment horizontal="right" vertical="center"/>
    </xf>
    <xf numFmtId="9" fontId="5" fillId="0" borderId="0" xfId="0" applyNumberFormat="1" applyFont="1" applyFill="1" applyBorder="1"/>
    <xf numFmtId="164" fontId="0" fillId="0" borderId="0" xfId="0" applyNumberFormat="1" applyFill="1" applyBorder="1"/>
    <xf numFmtId="2" fontId="0" fillId="0" borderId="0" xfId="0" applyNumberFormat="1" applyFill="1" applyBorder="1" applyAlignment="1">
      <alignment horizontal="right" vertical="center"/>
    </xf>
    <xf numFmtId="2" fontId="0" fillId="0" borderId="0" xfId="0" applyNumberForma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43" fontId="0" fillId="0" borderId="0" xfId="1" applyFont="1" applyFill="1" applyBorder="1" applyAlignment="1">
      <alignment horizontal="left" vertical="center"/>
    </xf>
    <xf numFmtId="165" fontId="0" fillId="0" borderId="0" xfId="0" applyNumberFormat="1" applyFill="1" applyBorder="1" applyAlignment="1">
      <alignment horizontal="right" vertical="center"/>
    </xf>
    <xf numFmtId="9" fontId="0" fillId="0" borderId="0" xfId="0" applyNumberFormat="1" applyFill="1" applyBorder="1" applyAlignment="1">
      <alignment horizontal="center"/>
    </xf>
    <xf numFmtId="9" fontId="5" fillId="0" borderId="0" xfId="0" applyNumberFormat="1" applyFont="1" applyFill="1" applyBorder="1" applyAlignment="1">
      <alignment horizontal="center"/>
    </xf>
    <xf numFmtId="10" fontId="0" fillId="0" borderId="0" xfId="2" applyNumberFormat="1" applyFont="1" applyFill="1" applyBorder="1" applyAlignment="1">
      <alignment horizontal="right" vertical="center"/>
    </xf>
    <xf numFmtId="166" fontId="0" fillId="0" borderId="0" xfId="2" applyNumberFormat="1" applyFont="1" applyFill="1" applyBorder="1" applyAlignment="1">
      <alignment horizontal="right" vertical="center"/>
    </xf>
    <xf numFmtId="165" fontId="0" fillId="0" borderId="0" xfId="2" applyNumberFormat="1" applyFont="1" applyFill="1" applyBorder="1" applyAlignment="1">
      <alignment horizontal="right" vertical="center"/>
    </xf>
    <xf numFmtId="10" fontId="5" fillId="0" borderId="0" xfId="0" applyNumberFormat="1" applyFont="1" applyFill="1" applyBorder="1"/>
    <xf numFmtId="0" fontId="0" fillId="0" borderId="0" xfId="0" applyNumberFormat="1" applyFill="1" applyBorder="1"/>
    <xf numFmtId="43" fontId="0" fillId="0" borderId="0" xfId="1" applyFont="1" applyFill="1" applyBorder="1" applyAlignment="1">
      <alignment horizontal="right" vertical="center"/>
    </xf>
    <xf numFmtId="0" fontId="0" fillId="0" borderId="0" xfId="0" applyNumberFormat="1" applyFill="1" applyBorder="1" applyAlignment="1">
      <alignment horizontal="center"/>
    </xf>
    <xf numFmtId="0" fontId="5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43" fontId="0" fillId="0" borderId="0" xfId="0" applyNumberFormat="1" applyFill="1" applyBorder="1"/>
    <xf numFmtId="43" fontId="5" fillId="0" borderId="0" xfId="0" applyNumberFormat="1" applyFont="1" applyFill="1" applyBorder="1"/>
    <xf numFmtId="10" fontId="5" fillId="0" borderId="0" xfId="0" applyNumberFormat="1" applyFont="1" applyFill="1" applyBorder="1" applyAlignment="1">
      <alignment horizontal="center" vertical="top"/>
    </xf>
    <xf numFmtId="43" fontId="6" fillId="0" borderId="0" xfId="1" applyFont="1" applyFill="1" applyBorder="1" applyAlignment="1">
      <alignment horizontal="right" vertical="center"/>
    </xf>
    <xf numFmtId="43" fontId="0" fillId="0" borderId="0" xfId="0" applyNumberFormat="1" applyFill="1" applyBorder="1" applyAlignment="1">
      <alignment horizontal="center"/>
    </xf>
    <xf numFmtId="0" fontId="3" fillId="0" borderId="0" xfId="0" applyFont="1" applyFill="1"/>
    <xf numFmtId="2" fontId="3" fillId="0" borderId="0" xfId="0" applyNumberFormat="1" applyFont="1" applyFill="1" applyAlignment="1">
      <alignment horizontal="right" vertical="center"/>
    </xf>
    <xf numFmtId="2" fontId="3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0" fontId="6" fillId="0" borderId="0" xfId="0" applyFont="1" applyFill="1"/>
    <xf numFmtId="2" fontId="6" fillId="0" borderId="0" xfId="0" applyNumberFormat="1" applyFont="1" applyFill="1" applyAlignment="1">
      <alignment horizontal="right" vertical="center"/>
    </xf>
    <xf numFmtId="10" fontId="3" fillId="0" borderId="0" xfId="0" applyNumberFormat="1" applyFont="1" applyFill="1" applyAlignment="1">
      <alignment horizontal="right" vertical="center"/>
    </xf>
    <xf numFmtId="4" fontId="3" fillId="0" borderId="0" xfId="0" applyNumberFormat="1" applyFont="1" applyFill="1" applyAlignment="1">
      <alignment horizontal="right" vertical="center"/>
    </xf>
    <xf numFmtId="4" fontId="0" fillId="0" borderId="0" xfId="0" applyNumberFormat="1" applyFill="1" applyAlignment="1">
      <alignment horizontal="right" vertical="center"/>
    </xf>
    <xf numFmtId="0" fontId="0" fillId="0" borderId="0" xfId="0" applyFill="1"/>
    <xf numFmtId="0" fontId="4" fillId="0" borderId="0" xfId="0" applyFont="1" applyFill="1"/>
    <xf numFmtId="0" fontId="0" fillId="0" borderId="0" xfId="0" applyFill="1" applyAlignment="1">
      <alignment horizontal="right" vertical="center"/>
    </xf>
    <xf numFmtId="2" fontId="0" fillId="0" borderId="0" xfId="0" applyNumberFormat="1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Fill="1"/>
    <xf numFmtId="43" fontId="0" fillId="0" borderId="0" xfId="0" applyNumberFormat="1" applyFill="1" applyAlignment="1">
      <alignment horizontal="right" vertical="center"/>
    </xf>
    <xf numFmtId="43" fontId="0" fillId="0" borderId="0" xfId="1" applyFont="1" applyFill="1" applyAlignment="1">
      <alignment horizontal="right" vertical="center"/>
    </xf>
    <xf numFmtId="0" fontId="5" fillId="0" borderId="0" xfId="0" applyFont="1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0" fontId="0" fillId="0" borderId="4" xfId="0" applyFill="1" applyBorder="1"/>
    <xf numFmtId="2" fontId="0" fillId="0" borderId="4" xfId="0" applyNumberFormat="1" applyFill="1" applyBorder="1" applyAlignment="1">
      <alignment horizontal="right" vertical="center"/>
    </xf>
    <xf numFmtId="2" fontId="0" fillId="0" borderId="4" xfId="0" applyNumberFormat="1" applyFill="1" applyBorder="1" applyAlignment="1">
      <alignment horizontal="center" vertical="center"/>
    </xf>
    <xf numFmtId="2" fontId="5" fillId="0" borderId="4" xfId="0" applyNumberFormat="1" applyFont="1" applyFill="1" applyBorder="1" applyAlignment="1">
      <alignment horizontal="center" vertical="center"/>
    </xf>
    <xf numFmtId="2" fontId="4" fillId="0" borderId="0" xfId="0" applyNumberFormat="1" applyFont="1" applyFill="1" applyAlignment="1">
      <alignment horizontal="right" vertical="center"/>
    </xf>
    <xf numFmtId="2" fontId="4" fillId="0" borderId="0" xfId="0" applyNumberFormat="1" applyFont="1" applyFill="1" applyAlignment="1">
      <alignment horizontal="center" vertical="center"/>
    </xf>
    <xf numFmtId="2" fontId="2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left" indent="3"/>
    </xf>
    <xf numFmtId="0" fontId="6" fillId="0" borderId="4" xfId="0" applyFont="1" applyFill="1" applyBorder="1"/>
    <xf numFmtId="43" fontId="6" fillId="0" borderId="4" xfId="1" applyFont="1" applyFill="1" applyBorder="1" applyAlignment="1">
      <alignment horizontal="right" vertical="center"/>
    </xf>
    <xf numFmtId="2" fontId="3" fillId="0" borderId="4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2" fontId="3" fillId="0" borderId="0" xfId="0" applyNumberFormat="1" applyFont="1" applyFill="1" applyBorder="1" applyAlignment="1">
      <alignment horizontal="center" vertical="center"/>
    </xf>
    <xf numFmtId="2" fontId="5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/>
    <xf numFmtId="2" fontId="2" fillId="0" borderId="0" xfId="0" applyNumberFormat="1" applyFont="1" applyFill="1" applyAlignment="1">
      <alignment horizontal="right" vertical="center"/>
    </xf>
    <xf numFmtId="0" fontId="5" fillId="0" borderId="0" xfId="0" applyFont="1" applyFill="1"/>
    <xf numFmtId="0" fontId="5" fillId="0" borderId="0" xfId="0" applyFont="1" applyFill="1" applyBorder="1" applyAlignment="1">
      <alignment horizontal="center" vertical="center"/>
    </xf>
    <xf numFmtId="0" fontId="7" fillId="0" borderId="0" xfId="0" applyFont="1" applyFill="1"/>
    <xf numFmtId="2" fontId="7" fillId="0" borderId="0" xfId="0" applyNumberFormat="1" applyFont="1" applyFill="1" applyAlignment="1">
      <alignment horizontal="right" vertical="center"/>
    </xf>
    <xf numFmtId="0" fontId="0" fillId="0" borderId="0" xfId="0" applyFill="1" applyBorder="1" applyAlignment="1">
      <alignment horizontal="center" vertical="center"/>
    </xf>
    <xf numFmtId="0" fontId="6" fillId="0" borderId="0" xfId="0" applyFont="1" applyFill="1" applyAlignment="1" applyProtection="1">
      <alignment horizontal="left" vertical="top"/>
      <protection locked="0"/>
    </xf>
    <xf numFmtId="0" fontId="6" fillId="0" borderId="0" xfId="0" applyFont="1" applyFill="1" applyProtection="1">
      <protection locked="0"/>
    </xf>
    <xf numFmtId="2" fontId="6" fillId="0" borderId="0" xfId="0" applyNumberFormat="1" applyFont="1" applyFill="1"/>
    <xf numFmtId="0" fontId="6" fillId="2" borderId="0" xfId="0" applyFont="1" applyFill="1"/>
    <xf numFmtId="43" fontId="6" fillId="0" borderId="0" xfId="0" applyNumberFormat="1" applyFont="1" applyFill="1"/>
    <xf numFmtId="0" fontId="6" fillId="0" borderId="0" xfId="0" applyFont="1" applyFill="1" applyAlignment="1">
      <alignment horizontal="left"/>
    </xf>
    <xf numFmtId="0" fontId="8" fillId="0" borderId="0" xfId="0" applyFont="1" applyFill="1" applyProtection="1">
      <protection locked="0"/>
    </xf>
    <xf numFmtId="43" fontId="6" fillId="0" borderId="0" xfId="1" applyFont="1" applyFill="1"/>
    <xf numFmtId="4" fontId="6" fillId="0" borderId="0" xfId="1" applyNumberFormat="1" applyFont="1" applyFill="1"/>
    <xf numFmtId="43" fontId="6" fillId="2" borderId="0" xfId="0" applyNumberFormat="1" applyFont="1" applyFill="1"/>
    <xf numFmtId="43" fontId="6" fillId="0" borderId="0" xfId="0" applyNumberFormat="1" applyFont="1" applyFill="1" applyAlignment="1">
      <alignment horizontal="left"/>
    </xf>
    <xf numFmtId="4" fontId="6" fillId="0" borderId="0" xfId="0" applyNumberFormat="1" applyFont="1" applyFill="1"/>
    <xf numFmtId="4" fontId="6" fillId="2" borderId="0" xfId="0" applyNumberFormat="1" applyFont="1" applyFill="1"/>
    <xf numFmtId="43" fontId="6" fillId="0" borderId="0" xfId="1" applyFont="1" applyFill="1" applyAlignment="1">
      <alignment horizontal="left"/>
    </xf>
    <xf numFmtId="4" fontId="6" fillId="0" borderId="0" xfId="0" applyNumberFormat="1" applyFont="1" applyFill="1" applyAlignment="1">
      <alignment horizontal="left"/>
    </xf>
    <xf numFmtId="0" fontId="8" fillId="0" borderId="0" xfId="0" applyFont="1" applyFill="1" applyAlignment="1" applyProtection="1">
      <alignment horizontal="left" vertical="top"/>
      <protection locked="0"/>
    </xf>
    <xf numFmtId="0" fontId="8" fillId="3" borderId="2" xfId="0" applyFont="1" applyFill="1" applyBorder="1" applyAlignment="1" applyProtection="1">
      <alignment horizontal="left" vertical="top"/>
      <protection locked="0"/>
    </xf>
    <xf numFmtId="0" fontId="8" fillId="3" borderId="2" xfId="0" applyFont="1" applyFill="1" applyBorder="1" applyAlignment="1" applyProtection="1">
      <alignment horizontal="center" vertical="top"/>
      <protection locked="0"/>
    </xf>
    <xf numFmtId="2" fontId="8" fillId="3" borderId="2" xfId="0" applyNumberFormat="1" applyFont="1" applyFill="1" applyBorder="1" applyAlignment="1">
      <alignment horizontal="center"/>
    </xf>
    <xf numFmtId="2" fontId="8" fillId="2" borderId="2" xfId="0" applyNumberFormat="1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15" fontId="4" fillId="2" borderId="2" xfId="0" applyNumberFormat="1" applyFont="1" applyFill="1" applyBorder="1" applyAlignment="1" applyProtection="1">
      <alignment horizontal="center" vertical="top"/>
      <protection locked="0"/>
    </xf>
    <xf numFmtId="0" fontId="8" fillId="0" borderId="2" xfId="0" applyFont="1" applyFill="1" applyBorder="1" applyAlignment="1" applyProtection="1">
      <alignment horizontal="left" vertical="top"/>
      <protection locked="0"/>
    </xf>
    <xf numFmtId="0" fontId="6" fillId="0" borderId="2" xfId="0" applyFont="1" applyFill="1" applyBorder="1"/>
    <xf numFmtId="2" fontId="6" fillId="0" borderId="2" xfId="0" applyNumberFormat="1" applyFont="1" applyFill="1" applyBorder="1"/>
    <xf numFmtId="43" fontId="6" fillId="0" borderId="2" xfId="0" applyNumberFormat="1" applyFont="1" applyFill="1" applyBorder="1"/>
    <xf numFmtId="43" fontId="6" fillId="0" borderId="2" xfId="0" applyNumberFormat="1" applyFont="1" applyFill="1" applyBorder="1" applyAlignment="1">
      <alignment horizontal="left"/>
    </xf>
    <xf numFmtId="0" fontId="8" fillId="0" borderId="2" xfId="0" applyFont="1" applyFill="1" applyBorder="1" applyProtection="1">
      <protection locked="0"/>
    </xf>
    <xf numFmtId="0" fontId="6" fillId="0" borderId="2" xfId="0" applyFont="1" applyFill="1" applyBorder="1" applyAlignment="1" applyProtection="1">
      <alignment horizontal="left" vertical="top"/>
      <protection locked="0"/>
    </xf>
    <xf numFmtId="0" fontId="6" fillId="0" borderId="2" xfId="0" applyFont="1" applyFill="1" applyBorder="1" applyProtection="1">
      <protection locked="0"/>
    </xf>
    <xf numFmtId="43" fontId="8" fillId="0" borderId="2" xfId="1" applyFont="1" applyFill="1" applyBorder="1" applyAlignment="1">
      <alignment horizontal="right"/>
    </xf>
    <xf numFmtId="43" fontId="8" fillId="0" borderId="2" xfId="1" applyFont="1" applyFill="1" applyBorder="1" applyAlignment="1">
      <alignment horizontal="left"/>
    </xf>
    <xf numFmtId="43" fontId="6" fillId="0" borderId="2" xfId="1" applyFont="1" applyFill="1" applyBorder="1" applyAlignment="1" applyProtection="1">
      <alignment horizontal="right"/>
      <protection locked="0"/>
    </xf>
    <xf numFmtId="43" fontId="6" fillId="0" borderId="2" xfId="1" applyFont="1" applyFill="1" applyBorder="1" applyAlignment="1">
      <alignment horizontal="right"/>
    </xf>
    <xf numFmtId="43" fontId="6" fillId="0" borderId="2" xfId="1" applyFont="1" applyFill="1" applyBorder="1" applyAlignment="1" applyProtection="1">
      <alignment horizontal="left"/>
      <protection locked="0"/>
    </xf>
    <xf numFmtId="43" fontId="6" fillId="0" borderId="2" xfId="1" applyFont="1" applyFill="1" applyBorder="1" applyAlignment="1">
      <alignment horizontal="left"/>
    </xf>
    <xf numFmtId="43" fontId="8" fillId="0" borderId="2" xfId="1" applyFont="1" applyFill="1" applyBorder="1" applyAlignment="1" applyProtection="1">
      <alignment horizontal="right"/>
      <protection locked="0"/>
    </xf>
    <xf numFmtId="43" fontId="6" fillId="0" borderId="2" xfId="0" applyNumberFormat="1" applyFont="1" applyFill="1" applyBorder="1" applyAlignment="1" applyProtection="1">
      <alignment horizontal="left" vertical="top"/>
      <protection locked="0"/>
    </xf>
    <xf numFmtId="43" fontId="8" fillId="0" borderId="2" xfId="0" applyNumberFormat="1" applyFont="1" applyFill="1" applyBorder="1" applyProtection="1">
      <protection locked="0"/>
    </xf>
    <xf numFmtId="10" fontId="6" fillId="0" borderId="0" xfId="0" applyNumberFormat="1" applyFont="1" applyFill="1"/>
    <xf numFmtId="43" fontId="6" fillId="0" borderId="0" xfId="0" applyNumberFormat="1" applyFont="1" applyFill="1" applyAlignment="1"/>
    <xf numFmtId="0" fontId="6" fillId="0" borderId="0" xfId="0" applyFont="1" applyFill="1" applyAlignment="1">
      <alignment horizontal="center"/>
    </xf>
    <xf numFmtId="2" fontId="6" fillId="0" borderId="0" xfId="0" applyNumberFormat="1" applyFont="1" applyFill="1" applyAlignment="1">
      <alignment horizontal="center"/>
    </xf>
    <xf numFmtId="0" fontId="0" fillId="0" borderId="2" xfId="0" applyBorder="1"/>
    <xf numFmtId="0" fontId="0" fillId="0" borderId="2" xfId="0" applyFill="1" applyBorder="1"/>
    <xf numFmtId="43" fontId="0" fillId="0" borderId="2" xfId="0" applyNumberFormat="1" applyBorder="1"/>
    <xf numFmtId="43" fontId="0" fillId="0" borderId="2" xfId="0" applyNumberFormat="1" applyFill="1" applyBorder="1"/>
    <xf numFmtId="167" fontId="0" fillId="0" borderId="2" xfId="0" applyNumberFormat="1" applyBorder="1"/>
    <xf numFmtId="167" fontId="0" fillId="0" borderId="2" xfId="0" applyNumberFormat="1" applyFill="1" applyBorder="1"/>
    <xf numFmtId="0" fontId="4" fillId="0" borderId="2" xfId="0" applyFont="1" applyBorder="1"/>
    <xf numFmtId="167" fontId="4" fillId="0" borderId="2" xfId="0" applyNumberFormat="1" applyFont="1" applyBorder="1"/>
    <xf numFmtId="167" fontId="4" fillId="0" borderId="2" xfId="0" applyNumberFormat="1" applyFont="1" applyFill="1" applyBorder="1"/>
    <xf numFmtId="168" fontId="0" fillId="0" borderId="2" xfId="0" applyNumberFormat="1" applyFill="1" applyBorder="1"/>
    <xf numFmtId="4" fontId="0" fillId="0" borderId="2" xfId="0" applyNumberFormat="1" applyBorder="1"/>
    <xf numFmtId="0" fontId="0" fillId="0" borderId="0" xfId="0" applyFont="1" applyFill="1" applyProtection="1">
      <protection locked="0"/>
    </xf>
    <xf numFmtId="0" fontId="0" fillId="0" borderId="0" xfId="0" applyFont="1" applyFill="1" applyAlignment="1">
      <alignment horizontal="center"/>
    </xf>
    <xf numFmtId="2" fontId="0" fillId="0" borderId="0" xfId="0" applyNumberFormat="1" applyFont="1" applyFill="1" applyAlignment="1">
      <alignment horizontal="center"/>
    </xf>
    <xf numFmtId="0" fontId="0" fillId="2" borderId="0" xfId="0" applyFont="1" applyFill="1" applyAlignment="1">
      <alignment horizontal="center"/>
    </xf>
    <xf numFmtId="10" fontId="0" fillId="0" borderId="0" xfId="2" applyNumberFormat="1" applyFont="1" applyFill="1" applyAlignment="1">
      <alignment horizontal="center"/>
    </xf>
    <xf numFmtId="43" fontId="0" fillId="0" borderId="0" xfId="0" applyNumberFormat="1" applyFont="1" applyFill="1" applyAlignment="1">
      <alignment horizontal="center"/>
    </xf>
    <xf numFmtId="43" fontId="0" fillId="0" borderId="0" xfId="0" applyNumberFormat="1" applyFont="1" applyFill="1" applyBorder="1" applyAlignment="1">
      <alignment horizontal="center"/>
    </xf>
    <xf numFmtId="43" fontId="0" fillId="0" borderId="0" xfId="1" applyFont="1" applyFill="1" applyAlignment="1">
      <alignment horizontal="center"/>
    </xf>
    <xf numFmtId="4" fontId="0" fillId="0" borderId="0" xfId="1" applyNumberFormat="1" applyFont="1" applyFill="1"/>
    <xf numFmtId="4" fontId="0" fillId="0" borderId="0" xfId="0" applyNumberFormat="1" applyFont="1" applyFill="1"/>
    <xf numFmtId="0" fontId="0" fillId="0" borderId="0" xfId="0" applyFill="1" applyProtection="1">
      <protection locked="0"/>
    </xf>
    <xf numFmtId="2" fontId="5" fillId="0" borderId="0" xfId="0" applyNumberFormat="1" applyFont="1" applyFill="1" applyAlignment="1">
      <alignment horizont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 vertical="top"/>
      <protection locked="0"/>
    </xf>
    <xf numFmtId="0" fontId="4" fillId="3" borderId="2" xfId="0" applyFont="1" applyFill="1" applyBorder="1" applyAlignment="1">
      <alignment horizontal="center"/>
    </xf>
    <xf numFmtId="0" fontId="4" fillId="3" borderId="5" xfId="0" applyFont="1" applyFill="1" applyBorder="1" applyAlignment="1" applyProtection="1">
      <alignment horizontal="center" vertical="center"/>
      <protection locked="0"/>
    </xf>
    <xf numFmtId="169" fontId="4" fillId="3" borderId="2" xfId="0" applyNumberFormat="1" applyFont="1" applyFill="1" applyBorder="1" applyAlignment="1" applyProtection="1">
      <alignment horizontal="center" vertical="top"/>
      <protection locked="0"/>
    </xf>
    <xf numFmtId="0" fontId="4" fillId="0" borderId="2" xfId="0" applyFont="1" applyFill="1" applyBorder="1" applyAlignment="1" applyProtection="1">
      <alignment horizontal="center" vertical="top"/>
      <protection locked="0"/>
    </xf>
    <xf numFmtId="0" fontId="4" fillId="0" borderId="2" xfId="0" applyFont="1" applyFill="1" applyBorder="1" applyProtection="1">
      <protection locked="0"/>
    </xf>
    <xf numFmtId="0" fontId="0" fillId="0" borderId="2" xfId="0" applyFont="1" applyFill="1" applyBorder="1" applyAlignment="1" applyProtection="1">
      <alignment horizontal="center" vertical="top"/>
      <protection locked="0"/>
    </xf>
    <xf numFmtId="10" fontId="0" fillId="0" borderId="2" xfId="0" applyNumberFormat="1" applyFont="1" applyFill="1" applyBorder="1" applyAlignment="1">
      <alignment horizontal="center"/>
    </xf>
    <xf numFmtId="2" fontId="0" fillId="0" borderId="2" xfId="0" applyNumberFormat="1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0" borderId="2" xfId="0" applyFont="1" applyFill="1" applyBorder="1"/>
    <xf numFmtId="0" fontId="0" fillId="0" borderId="2" xfId="0" applyFont="1" applyFill="1" applyBorder="1" applyProtection="1">
      <protection locked="0"/>
    </xf>
    <xf numFmtId="43" fontId="0" fillId="0" borderId="2" xfId="1" applyFont="1" applyFill="1" applyBorder="1" applyAlignment="1" applyProtection="1">
      <alignment horizontal="center" vertical="top"/>
      <protection locked="0"/>
    </xf>
    <xf numFmtId="43" fontId="0" fillId="0" borderId="2" xfId="1" applyFont="1" applyFill="1" applyBorder="1" applyAlignment="1">
      <alignment horizontal="center"/>
    </xf>
    <xf numFmtId="43" fontId="0" fillId="2" borderId="2" xfId="1" applyFont="1" applyFill="1" applyBorder="1" applyAlignment="1" applyProtection="1">
      <alignment horizontal="center" vertical="top"/>
      <protection locked="0"/>
    </xf>
    <xf numFmtId="0" fontId="0" fillId="0" borderId="2" xfId="0" applyFill="1" applyBorder="1" applyProtection="1">
      <protection locked="0"/>
    </xf>
    <xf numFmtId="43" fontId="0" fillId="2" borderId="2" xfId="1" applyFont="1" applyFill="1" applyBorder="1" applyAlignment="1">
      <alignment horizontal="center"/>
    </xf>
    <xf numFmtId="43" fontId="0" fillId="0" borderId="2" xfId="1" applyFont="1" applyFill="1" applyBorder="1"/>
    <xf numFmtId="43" fontId="4" fillId="0" borderId="2" xfId="1" applyFont="1" applyFill="1" applyBorder="1" applyAlignment="1">
      <alignment horizontal="center" vertical="top"/>
    </xf>
    <xf numFmtId="43" fontId="4" fillId="2" borderId="2" xfId="1" applyFont="1" applyFill="1" applyBorder="1" applyAlignment="1">
      <alignment horizontal="center" vertical="top"/>
    </xf>
    <xf numFmtId="10" fontId="0" fillId="0" borderId="2" xfId="0" applyNumberFormat="1" applyFont="1" applyFill="1" applyBorder="1" applyAlignment="1" applyProtection="1">
      <alignment horizontal="center"/>
      <protection locked="0"/>
    </xf>
    <xf numFmtId="170" fontId="0" fillId="0" borderId="2" xfId="0" applyNumberFormat="1" applyFont="1" applyFill="1" applyBorder="1" applyAlignment="1">
      <alignment horizontal="center"/>
    </xf>
    <xf numFmtId="171" fontId="0" fillId="0" borderId="2" xfId="0" applyNumberFormat="1" applyFont="1" applyFill="1" applyBorder="1" applyAlignment="1">
      <alignment horizontal="center"/>
    </xf>
    <xf numFmtId="171" fontId="0" fillId="2" borderId="0" xfId="0" applyNumberFormat="1" applyFont="1" applyFill="1" applyBorder="1" applyAlignment="1">
      <alignment horizontal="center"/>
    </xf>
    <xf numFmtId="43" fontId="0" fillId="0" borderId="2" xfId="0" applyNumberFormat="1" applyFont="1" applyFill="1" applyBorder="1" applyAlignment="1">
      <alignment horizontal="center"/>
    </xf>
    <xf numFmtId="4" fontId="0" fillId="0" borderId="2" xfId="2" applyNumberFormat="1" applyFont="1" applyFill="1" applyBorder="1" applyAlignment="1">
      <alignment horizontal="center"/>
    </xf>
    <xf numFmtId="9" fontId="0" fillId="0" borderId="2" xfId="2" applyFont="1" applyFill="1" applyBorder="1" applyAlignment="1">
      <alignment horizontal="center"/>
    </xf>
    <xf numFmtId="43" fontId="0" fillId="0" borderId="2" xfId="1" applyFont="1" applyFill="1" applyBorder="1" applyAlignment="1">
      <alignment vertical="center"/>
    </xf>
    <xf numFmtId="43" fontId="6" fillId="0" borderId="2" xfId="1" applyFont="1" applyFill="1" applyBorder="1" applyAlignment="1" applyProtection="1">
      <alignment horizontal="center" vertical="top"/>
      <protection locked="0"/>
    </xf>
    <xf numFmtId="43" fontId="8" fillId="0" borderId="2" xfId="1" applyFont="1" applyFill="1" applyBorder="1" applyAlignment="1">
      <alignment horizontal="center" vertical="top"/>
    </xf>
    <xf numFmtId="43" fontId="6" fillId="0" borderId="2" xfId="1" applyFont="1" applyFill="1" applyBorder="1" applyAlignment="1">
      <alignment horizontal="center"/>
    </xf>
    <xf numFmtId="43" fontId="6" fillId="0" borderId="2" xfId="1" applyFont="1" applyFill="1" applyBorder="1"/>
    <xf numFmtId="164" fontId="0" fillId="0" borderId="0" xfId="2" applyNumberFormat="1" applyFont="1" applyFill="1"/>
    <xf numFmtId="4" fontId="0" fillId="0" borderId="0" xfId="2" applyNumberFormat="1" applyFont="1" applyFill="1"/>
    <xf numFmtId="10" fontId="0" fillId="0" borderId="0" xfId="0" applyNumberFormat="1" applyFont="1" applyFill="1" applyAlignment="1">
      <alignment horizontal="center"/>
    </xf>
    <xf numFmtId="0" fontId="9" fillId="0" borderId="0" xfId="0" applyFont="1" applyFill="1" applyBorder="1"/>
    <xf numFmtId="0" fontId="10" fillId="0" borderId="0" xfId="0" applyFont="1" applyFill="1" applyBorder="1"/>
    <xf numFmtId="2" fontId="10" fillId="0" borderId="0" xfId="0" applyNumberFormat="1" applyFont="1" applyFill="1" applyBorder="1" applyAlignment="1"/>
    <xf numFmtId="2" fontId="9" fillId="0" borderId="0" xfId="0" applyNumberFormat="1" applyFont="1" applyFill="1" applyBorder="1" applyAlignment="1">
      <alignment horizontal="left" vertical="top"/>
    </xf>
    <xf numFmtId="0" fontId="9" fillId="0" borderId="2" xfId="0" applyFont="1" applyFill="1" applyBorder="1"/>
    <xf numFmtId="2" fontId="10" fillId="0" borderId="2" xfId="0" applyNumberFormat="1" applyFont="1" applyFill="1" applyBorder="1" applyAlignment="1"/>
    <xf numFmtId="2" fontId="9" fillId="0" borderId="2" xfId="0" applyNumberFormat="1" applyFont="1" applyFill="1" applyBorder="1" applyAlignment="1">
      <alignment horizontal="left" vertical="top"/>
    </xf>
    <xf numFmtId="0" fontId="10" fillId="0" borderId="2" xfId="0" applyFont="1" applyFill="1" applyBorder="1"/>
    <xf numFmtId="0" fontId="10" fillId="0" borderId="2" xfId="0" applyFont="1" applyFill="1" applyBorder="1" applyAlignment="1">
      <alignment horizontal="right"/>
    </xf>
    <xf numFmtId="43" fontId="9" fillId="3" borderId="2" xfId="1" applyFont="1" applyFill="1" applyBorder="1" applyAlignment="1">
      <alignment horizontal="center" vertical="center"/>
    </xf>
    <xf numFmtId="2" fontId="9" fillId="3" borderId="2" xfId="0" applyNumberFormat="1" applyFont="1" applyFill="1" applyBorder="1" applyAlignment="1">
      <alignment horizontal="center" vertical="center"/>
    </xf>
    <xf numFmtId="43" fontId="10" fillId="0" borderId="2" xfId="1" applyFont="1" applyFill="1" applyBorder="1" applyAlignment="1">
      <alignment horizontal="left"/>
    </xf>
    <xf numFmtId="43" fontId="10" fillId="0" borderId="2" xfId="1" applyFont="1" applyFill="1" applyBorder="1" applyAlignment="1"/>
    <xf numFmtId="43" fontId="10" fillId="0" borderId="0" xfId="0" applyNumberFormat="1" applyFont="1" applyFill="1" applyBorder="1"/>
    <xf numFmtId="43" fontId="9" fillId="0" borderId="2" xfId="1" applyFont="1" applyFill="1" applyBorder="1" applyAlignment="1">
      <alignment horizontal="left"/>
    </xf>
    <xf numFmtId="43" fontId="9" fillId="0" borderId="2" xfId="1" applyFont="1" applyFill="1" applyBorder="1" applyAlignment="1"/>
    <xf numFmtId="43" fontId="10" fillId="0" borderId="2" xfId="1" applyFont="1" applyFill="1" applyBorder="1" applyAlignment="1">
      <alignment horizontal="center"/>
    </xf>
    <xf numFmtId="43" fontId="10" fillId="0" borderId="2" xfId="1" applyFont="1" applyFill="1" applyBorder="1"/>
    <xf numFmtId="2" fontId="9" fillId="0" borderId="2" xfId="0" applyNumberFormat="1" applyFont="1" applyFill="1" applyBorder="1" applyAlignment="1">
      <alignment horizontal="center" vertical="center"/>
    </xf>
    <xf numFmtId="2" fontId="9" fillId="0" borderId="0" xfId="0" applyNumberFormat="1" applyFont="1" applyFill="1" applyBorder="1" applyAlignment="1"/>
    <xf numFmtId="43" fontId="11" fillId="0" borderId="0" xfId="1" applyFont="1" applyFill="1" applyBorder="1" applyAlignment="1"/>
    <xf numFmtId="43" fontId="10" fillId="0" borderId="0" xfId="1" applyFont="1" applyFill="1" applyBorder="1" applyAlignment="1"/>
  </cellXfs>
  <cellStyles count="9">
    <cellStyle name="Comma" xfId="1" builtinId="3"/>
    <cellStyle name="Comma 2" xfId="3"/>
    <cellStyle name="Normal" xfId="0" builtinId="0"/>
    <cellStyle name="Normal 2" xfId="4"/>
    <cellStyle name="Normal 3" xfId="5"/>
    <cellStyle name="Normal 4" xfId="6"/>
    <cellStyle name="Normal 5" xfId="7"/>
    <cellStyle name="Percent" xfId="2" builtinId="5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300"/>
  <sheetViews>
    <sheetView showGridLines="0" zoomScale="80" zoomScaleNormal="80" workbookViewId="0">
      <pane xSplit="1" ySplit="2" topLeftCell="D3" activePane="bottomRight" state="frozen"/>
      <selection activeCell="K4" sqref="K4"/>
      <selection pane="topRight" activeCell="K4" sqref="K4"/>
      <selection pane="bottomLeft" activeCell="K4" sqref="K4"/>
      <selection pane="bottomRight" activeCell="K3" sqref="K3"/>
    </sheetView>
  </sheetViews>
  <sheetFormatPr defaultColWidth="9.140625" defaultRowHeight="15" x14ac:dyDescent="0.25"/>
  <cols>
    <col min="1" max="1" width="45" style="3" bestFit="1" customWidth="1"/>
    <col min="2" max="3" width="12.42578125" style="84" hidden="1" customWidth="1"/>
    <col min="4" max="6" width="12.42578125" style="84" customWidth="1"/>
    <col min="7" max="47" width="12.42578125" style="3" customWidth="1"/>
    <col min="48" max="48" width="9.140625" style="4" customWidth="1"/>
    <col min="49" max="49" width="9.140625" style="4"/>
    <col min="50" max="119" width="9.140625" style="3"/>
    <col min="120" max="120" width="41" style="3" customWidth="1"/>
    <col min="121" max="16384" width="9.140625" style="3"/>
  </cols>
  <sheetData>
    <row r="1" spans="1:50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/>
    </row>
    <row r="2" spans="1:50" x14ac:dyDescent="0.25">
      <c r="A2" s="5"/>
      <c r="B2" s="6" t="s">
        <v>11</v>
      </c>
      <c r="C2" s="6" t="s">
        <v>11</v>
      </c>
      <c r="D2" s="6" t="s">
        <v>11</v>
      </c>
      <c r="E2" s="6" t="s">
        <v>12</v>
      </c>
      <c r="F2" s="6" t="s">
        <v>12</v>
      </c>
      <c r="G2" s="6" t="s">
        <v>12</v>
      </c>
      <c r="H2" s="6" t="s">
        <v>12</v>
      </c>
      <c r="I2" s="6" t="s">
        <v>12</v>
      </c>
      <c r="J2" s="6" t="s">
        <v>12</v>
      </c>
      <c r="K2" s="6" t="s">
        <v>12</v>
      </c>
      <c r="L2" s="6"/>
    </row>
    <row r="3" spans="1:50" x14ac:dyDescent="0.25">
      <c r="A3" s="3" t="s">
        <v>13</v>
      </c>
      <c r="B3" s="7">
        <f>B4/702-1</f>
        <v>0.47008547008547019</v>
      </c>
      <c r="C3" s="7">
        <v>0.5</v>
      </c>
      <c r="D3" s="8">
        <f>D4/C4-1</f>
        <v>0.41494527889384059</v>
      </c>
      <c r="E3" s="8"/>
      <c r="F3" s="9"/>
      <c r="G3" s="9"/>
      <c r="H3" s="9"/>
      <c r="I3" s="8"/>
      <c r="J3" s="8"/>
      <c r="K3" s="8"/>
      <c r="L3" s="7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1" t="e">
        <f>(AV4-#REF!)/#REF!</f>
        <v>#REF!</v>
      </c>
      <c r="AW3" s="11"/>
    </row>
    <row r="4" spans="1:50" x14ac:dyDescent="0.25">
      <c r="A4" s="3" t="s">
        <v>14</v>
      </c>
      <c r="B4" s="12">
        <v>1032</v>
      </c>
      <c r="C4" s="12">
        <v>1550.59</v>
      </c>
      <c r="D4" s="12">
        <v>2194</v>
      </c>
      <c r="E4" s="12">
        <f>ROUND(D4*(1+(-40%)),-1)-70</f>
        <v>1250</v>
      </c>
      <c r="F4" s="12">
        <f>ROUND(E4*(1+65%),-1)</f>
        <v>2060</v>
      </c>
      <c r="G4" s="12">
        <f>ROUND(F4*(1+20%),-1)</f>
        <v>2470</v>
      </c>
      <c r="H4" s="12">
        <f>ROUND(G4*(1+20%),-1)</f>
        <v>2960</v>
      </c>
      <c r="I4" s="12">
        <f>ROUND(H4*(1+20%),-1)</f>
        <v>3550</v>
      </c>
      <c r="J4" s="12">
        <f>ROUND(I4*(1+20%),-1)</f>
        <v>4260</v>
      </c>
      <c r="K4" s="12">
        <f>ROUND(J4*(1+20%),-1)</f>
        <v>5110</v>
      </c>
      <c r="L4" s="12"/>
      <c r="M4" s="13"/>
      <c r="AV4" s="14">
        <v>5600</v>
      </c>
    </row>
    <row r="5" spans="1:50" x14ac:dyDescent="0.25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</row>
    <row r="6" spans="1:50" x14ac:dyDescent="0.25">
      <c r="A6" s="3" t="s">
        <v>15</v>
      </c>
      <c r="B6" s="12">
        <v>6</v>
      </c>
      <c r="C6" s="12">
        <v>6</v>
      </c>
      <c r="D6" s="12">
        <v>6</v>
      </c>
      <c r="E6" s="12">
        <v>6</v>
      </c>
      <c r="F6" s="12">
        <v>6</v>
      </c>
      <c r="G6" s="12">
        <v>6</v>
      </c>
      <c r="H6" s="12">
        <v>7</v>
      </c>
      <c r="I6" s="12">
        <v>8</v>
      </c>
      <c r="J6" s="12">
        <v>9</v>
      </c>
      <c r="K6" s="12">
        <v>10</v>
      </c>
      <c r="L6" s="12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4">
        <v>5</v>
      </c>
    </row>
    <row r="7" spans="1:50" x14ac:dyDescent="0.25">
      <c r="A7" s="3" t="s">
        <v>16</v>
      </c>
      <c r="B7" s="12">
        <v>226</v>
      </c>
      <c r="C7" s="12">
        <v>262</v>
      </c>
      <c r="D7" s="12">
        <v>320</v>
      </c>
      <c r="E7" s="12">
        <v>330</v>
      </c>
      <c r="F7" s="12">
        <v>330</v>
      </c>
      <c r="G7" s="12">
        <v>350</v>
      </c>
      <c r="H7" s="12">
        <v>350</v>
      </c>
      <c r="I7" s="12">
        <v>350</v>
      </c>
      <c r="J7" s="12">
        <v>350</v>
      </c>
      <c r="K7" s="12">
        <v>350</v>
      </c>
      <c r="L7" s="12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4" t="e">
        <f>ROUND(#REF!*(1+AV3/2),-1)</f>
        <v>#REF!</v>
      </c>
    </row>
    <row r="8" spans="1:50" x14ac:dyDescent="0.25">
      <c r="A8" s="3" t="s">
        <v>17</v>
      </c>
      <c r="B8" s="16">
        <v>1850</v>
      </c>
      <c r="C8" s="16">
        <v>2563</v>
      </c>
      <c r="D8" s="16">
        <v>3600</v>
      </c>
      <c r="E8" s="16">
        <f t="shared" ref="E8" si="0">D8+500</f>
        <v>4100</v>
      </c>
      <c r="F8" s="16">
        <v>4000</v>
      </c>
      <c r="G8" s="16">
        <f>F8</f>
        <v>4000</v>
      </c>
      <c r="H8" s="16">
        <f t="shared" ref="H8:K8" si="1">G8</f>
        <v>4000</v>
      </c>
      <c r="I8" s="16">
        <f t="shared" si="1"/>
        <v>4000</v>
      </c>
      <c r="J8" s="16">
        <f t="shared" si="1"/>
        <v>4000</v>
      </c>
      <c r="K8" s="16">
        <f t="shared" si="1"/>
        <v>4000</v>
      </c>
      <c r="L8" s="16"/>
      <c r="M8" s="17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9" t="e">
        <v>#REF!</v>
      </c>
    </row>
    <row r="9" spans="1:50" x14ac:dyDescent="0.25">
      <c r="A9" s="3" t="s">
        <v>18</v>
      </c>
      <c r="B9" s="12">
        <v>42</v>
      </c>
      <c r="C9" s="12">
        <v>42</v>
      </c>
      <c r="D9" s="12">
        <v>42</v>
      </c>
      <c r="E9" s="12">
        <f t="shared" ref="E9:K10" si="2">D9</f>
        <v>42</v>
      </c>
      <c r="F9" s="12">
        <f t="shared" si="2"/>
        <v>42</v>
      </c>
      <c r="G9" s="12">
        <f t="shared" si="2"/>
        <v>42</v>
      </c>
      <c r="H9" s="12">
        <f t="shared" si="2"/>
        <v>42</v>
      </c>
      <c r="I9" s="12">
        <f t="shared" si="2"/>
        <v>42</v>
      </c>
      <c r="J9" s="12">
        <f t="shared" si="2"/>
        <v>42</v>
      </c>
      <c r="K9" s="12">
        <f t="shared" si="2"/>
        <v>42</v>
      </c>
      <c r="L9" s="12"/>
      <c r="AV9" s="4" t="e">
        <f>#REF!</f>
        <v>#REF!</v>
      </c>
    </row>
    <row r="10" spans="1:50" x14ac:dyDescent="0.25">
      <c r="A10" s="3" t="s">
        <v>19</v>
      </c>
      <c r="B10" s="20">
        <v>0</v>
      </c>
      <c r="C10" s="20">
        <v>0</v>
      </c>
      <c r="D10" s="8">
        <v>0</v>
      </c>
      <c r="E10" s="8">
        <f t="shared" si="2"/>
        <v>0</v>
      </c>
      <c r="F10" s="8">
        <f t="shared" si="2"/>
        <v>0</v>
      </c>
      <c r="G10" s="8">
        <f t="shared" si="2"/>
        <v>0</v>
      </c>
      <c r="H10" s="8">
        <f t="shared" si="2"/>
        <v>0</v>
      </c>
      <c r="I10" s="8">
        <f t="shared" si="2"/>
        <v>0</v>
      </c>
      <c r="J10" s="8">
        <f t="shared" si="2"/>
        <v>0</v>
      </c>
      <c r="K10" s="8">
        <f t="shared" si="2"/>
        <v>0</v>
      </c>
      <c r="L10" s="8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21" t="e">
        <f>#REF!</f>
        <v>#REF!</v>
      </c>
      <c r="AX10" s="13"/>
    </row>
    <row r="11" spans="1:50" x14ac:dyDescent="0.25">
      <c r="A11" s="3" t="s">
        <v>20</v>
      </c>
      <c r="B11" s="8">
        <v>0.215</v>
      </c>
      <c r="C11" s="7">
        <v>0.13500000000000001</v>
      </c>
      <c r="D11" s="8">
        <v>7.4999999999999997E-2</v>
      </c>
      <c r="E11" s="8">
        <v>0.1</v>
      </c>
      <c r="F11" s="8">
        <v>0.1</v>
      </c>
      <c r="G11" s="8">
        <v>0.1</v>
      </c>
      <c r="H11" s="8">
        <v>0.05</v>
      </c>
      <c r="I11" s="8">
        <v>0.1</v>
      </c>
      <c r="J11" s="8">
        <v>0.1</v>
      </c>
      <c r="K11" s="8">
        <v>0.1</v>
      </c>
      <c r="L11" s="8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1" t="e">
        <f>#REF!</f>
        <v>#REF!</v>
      </c>
    </row>
    <row r="12" spans="1:50" x14ac:dyDescent="0.25">
      <c r="A12" s="3" t="s">
        <v>21</v>
      </c>
      <c r="B12" s="23">
        <f t="shared" ref="B12:G12" si="3">ROUND(B4*B11,-1)</f>
        <v>220</v>
      </c>
      <c r="C12" s="23">
        <f t="shared" si="3"/>
        <v>210</v>
      </c>
      <c r="D12" s="23">
        <f t="shared" si="3"/>
        <v>160</v>
      </c>
      <c r="E12" s="23">
        <f t="shared" si="3"/>
        <v>130</v>
      </c>
      <c r="F12" s="23">
        <f t="shared" si="3"/>
        <v>210</v>
      </c>
      <c r="G12" s="23">
        <f t="shared" si="3"/>
        <v>250</v>
      </c>
      <c r="H12" s="23">
        <f>ROUND(H4*H11,-1)</f>
        <v>150</v>
      </c>
      <c r="I12" s="23">
        <f>ROUND(I4*I11,-1)</f>
        <v>360</v>
      </c>
      <c r="J12" s="23">
        <f>ROUND(J4*J11,-1)</f>
        <v>430</v>
      </c>
      <c r="K12" s="23">
        <f>ROUND(K4*K11,-1)</f>
        <v>510</v>
      </c>
      <c r="L12" s="23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5" t="e">
        <f>ROUND(AV4*AV11,-1)</f>
        <v>#REF!</v>
      </c>
    </row>
    <row r="13" spans="1:50" x14ac:dyDescent="0.25">
      <c r="A13" s="3" t="s">
        <v>22</v>
      </c>
      <c r="B13" s="23"/>
      <c r="C13" s="23">
        <v>0</v>
      </c>
      <c r="D13" s="23">
        <f t="shared" ref="D13:K13" si="4">D12/2</f>
        <v>80</v>
      </c>
      <c r="E13" s="23">
        <f t="shared" si="4"/>
        <v>65</v>
      </c>
      <c r="F13" s="23">
        <f t="shared" si="4"/>
        <v>105</v>
      </c>
      <c r="G13" s="23">
        <f t="shared" si="4"/>
        <v>125</v>
      </c>
      <c r="H13" s="23">
        <f t="shared" si="4"/>
        <v>75</v>
      </c>
      <c r="I13" s="23">
        <f t="shared" si="4"/>
        <v>180</v>
      </c>
      <c r="J13" s="23">
        <f t="shared" si="4"/>
        <v>215</v>
      </c>
      <c r="K13" s="23">
        <f t="shared" si="4"/>
        <v>255</v>
      </c>
      <c r="L13" s="23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5"/>
    </row>
    <row r="14" spans="1:50" x14ac:dyDescent="0.25">
      <c r="A14" s="3" t="s">
        <v>23</v>
      </c>
      <c r="B14" s="23"/>
      <c r="C14" s="23">
        <v>0</v>
      </c>
      <c r="D14" s="23">
        <f t="shared" ref="D14:K14" si="5">D12-D13</f>
        <v>80</v>
      </c>
      <c r="E14" s="23">
        <f t="shared" si="5"/>
        <v>65</v>
      </c>
      <c r="F14" s="23">
        <f t="shared" si="5"/>
        <v>105</v>
      </c>
      <c r="G14" s="23">
        <f t="shared" si="5"/>
        <v>125</v>
      </c>
      <c r="H14" s="23">
        <f t="shared" si="5"/>
        <v>75</v>
      </c>
      <c r="I14" s="23">
        <f t="shared" si="5"/>
        <v>180</v>
      </c>
      <c r="J14" s="23">
        <f t="shared" si="5"/>
        <v>215</v>
      </c>
      <c r="K14" s="23">
        <f t="shared" si="5"/>
        <v>255</v>
      </c>
      <c r="L14" s="23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5"/>
    </row>
    <row r="15" spans="1:50" x14ac:dyDescent="0.25">
      <c r="A15" s="3" t="s">
        <v>24</v>
      </c>
      <c r="B15" s="23"/>
      <c r="C15" s="23">
        <v>0</v>
      </c>
      <c r="D15" s="23">
        <f t="shared" ref="D15:K15" si="6">((D13/36)*3)+((C13/36*12))</f>
        <v>6.666666666666667</v>
      </c>
      <c r="E15" s="23">
        <f t="shared" si="6"/>
        <v>32.083333333333336</v>
      </c>
      <c r="F15" s="23">
        <f t="shared" si="6"/>
        <v>30.416666666666668</v>
      </c>
      <c r="G15" s="23">
        <f t="shared" si="6"/>
        <v>45.416666666666671</v>
      </c>
      <c r="H15" s="23">
        <f t="shared" si="6"/>
        <v>47.916666666666671</v>
      </c>
      <c r="I15" s="23">
        <f t="shared" si="6"/>
        <v>40</v>
      </c>
      <c r="J15" s="23">
        <f t="shared" si="6"/>
        <v>77.916666666666671</v>
      </c>
      <c r="K15" s="23">
        <f t="shared" si="6"/>
        <v>92.916666666666671</v>
      </c>
      <c r="L15" s="23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5"/>
    </row>
    <row r="16" spans="1:50" x14ac:dyDescent="0.25">
      <c r="A16" s="3" t="s">
        <v>25</v>
      </c>
      <c r="B16" s="23"/>
      <c r="C16" s="23">
        <v>0</v>
      </c>
      <c r="D16" s="23">
        <f t="shared" ref="D16:K16" si="7">D13-D15</f>
        <v>73.333333333333329</v>
      </c>
      <c r="E16" s="23">
        <f t="shared" si="7"/>
        <v>32.916666666666664</v>
      </c>
      <c r="F16" s="23">
        <f t="shared" si="7"/>
        <v>74.583333333333329</v>
      </c>
      <c r="G16" s="23">
        <f t="shared" si="7"/>
        <v>79.583333333333329</v>
      </c>
      <c r="H16" s="23">
        <f t="shared" si="7"/>
        <v>27.083333333333329</v>
      </c>
      <c r="I16" s="23">
        <f t="shared" si="7"/>
        <v>140</v>
      </c>
      <c r="J16" s="23">
        <f t="shared" si="7"/>
        <v>137.08333333333331</v>
      </c>
      <c r="K16" s="23">
        <f t="shared" si="7"/>
        <v>162.08333333333331</v>
      </c>
      <c r="L16" s="23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5"/>
    </row>
    <row r="17" spans="1:49" x14ac:dyDescent="0.25">
      <c r="A17" s="3" t="s">
        <v>26</v>
      </c>
      <c r="B17" s="23"/>
      <c r="C17" s="23">
        <v>0</v>
      </c>
      <c r="D17" s="26">
        <v>54.988825166666672</v>
      </c>
      <c r="E17" s="26">
        <v>149.39340684833334</v>
      </c>
      <c r="F17" s="26">
        <v>205.17961004051671</v>
      </c>
      <c r="G17" s="26">
        <v>290.4768032572382</v>
      </c>
      <c r="H17" s="26">
        <v>314.25214725510392</v>
      </c>
      <c r="I17" s="26">
        <v>356.58793354717795</v>
      </c>
      <c r="J17" s="26">
        <v>-137.08333333333331</v>
      </c>
      <c r="K17" s="26">
        <v>-162.08333333333331</v>
      </c>
      <c r="L17" s="26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5"/>
    </row>
    <row r="18" spans="1:49" x14ac:dyDescent="0.25">
      <c r="A18" s="3" t="s">
        <v>27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/>
      <c r="AV18" s="4">
        <v>0</v>
      </c>
    </row>
    <row r="19" spans="1:49" x14ac:dyDescent="0.25">
      <c r="A19" s="3" t="s">
        <v>28</v>
      </c>
      <c r="B19" s="7">
        <v>0.12</v>
      </c>
      <c r="C19" s="7">
        <v>0.11</v>
      </c>
      <c r="D19" s="7">
        <v>0.11</v>
      </c>
      <c r="E19" s="27">
        <v>0.11</v>
      </c>
      <c r="F19" s="7">
        <f t="shared" ref="F19:K19" si="8">E19</f>
        <v>0.11</v>
      </c>
      <c r="G19" s="7">
        <f t="shared" si="8"/>
        <v>0.11</v>
      </c>
      <c r="H19" s="7">
        <f t="shared" si="8"/>
        <v>0.11</v>
      </c>
      <c r="I19" s="7">
        <f t="shared" si="8"/>
        <v>0.11</v>
      </c>
      <c r="J19" s="7">
        <f t="shared" si="8"/>
        <v>0.11</v>
      </c>
      <c r="K19" s="7">
        <f t="shared" si="8"/>
        <v>0.11</v>
      </c>
      <c r="L19" s="7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1" t="e">
        <f>#REF!-0.25%</f>
        <v>#REF!</v>
      </c>
    </row>
    <row r="20" spans="1:49" x14ac:dyDescent="0.25">
      <c r="A20" s="3" t="s">
        <v>29</v>
      </c>
      <c r="B20" s="7">
        <v>3.2500000000000001E-2</v>
      </c>
      <c r="C20" s="7">
        <v>2.5000000000000001E-2</v>
      </c>
      <c r="D20" s="7">
        <f>C20</f>
        <v>2.5000000000000001E-2</v>
      </c>
      <c r="E20" s="7">
        <f>D20</f>
        <v>2.5000000000000001E-2</v>
      </c>
      <c r="F20" s="7">
        <f t="shared" ref="F20:K20" si="9">E20-0.0025</f>
        <v>2.2500000000000003E-2</v>
      </c>
      <c r="G20" s="7">
        <f t="shared" si="9"/>
        <v>2.0000000000000004E-2</v>
      </c>
      <c r="H20" s="7">
        <f t="shared" si="9"/>
        <v>1.7500000000000005E-2</v>
      </c>
      <c r="I20" s="7">
        <f t="shared" si="9"/>
        <v>1.5000000000000005E-2</v>
      </c>
      <c r="J20" s="7">
        <f t="shared" si="9"/>
        <v>1.2500000000000004E-2</v>
      </c>
      <c r="K20" s="7">
        <f t="shared" si="9"/>
        <v>1.0000000000000004E-2</v>
      </c>
      <c r="L20" s="7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9" t="e">
        <f>#REF!-0.0025</f>
        <v>#REF!</v>
      </c>
    </row>
    <row r="21" spans="1:49" x14ac:dyDescent="0.25">
      <c r="A21" s="3" t="s">
        <v>30</v>
      </c>
      <c r="B21" s="7">
        <v>7.0000000000000007E-2</v>
      </c>
      <c r="C21" s="7">
        <v>7.0000000000000007E-2</v>
      </c>
      <c r="D21" s="7">
        <f>C21</f>
        <v>7.0000000000000007E-2</v>
      </c>
      <c r="E21" s="7">
        <f>D21</f>
        <v>7.0000000000000007E-2</v>
      </c>
      <c r="F21" s="7">
        <f t="shared" ref="F21:K23" si="10">E21</f>
        <v>7.0000000000000007E-2</v>
      </c>
      <c r="G21" s="7">
        <f t="shared" si="10"/>
        <v>7.0000000000000007E-2</v>
      </c>
      <c r="H21" s="7">
        <f t="shared" si="10"/>
        <v>7.0000000000000007E-2</v>
      </c>
      <c r="I21" s="7">
        <f t="shared" si="10"/>
        <v>7.0000000000000007E-2</v>
      </c>
      <c r="J21" s="7">
        <f t="shared" si="10"/>
        <v>7.0000000000000007E-2</v>
      </c>
      <c r="K21" s="7">
        <f t="shared" si="10"/>
        <v>7.0000000000000007E-2</v>
      </c>
      <c r="L21" s="7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21" t="e">
        <f>#REF!</f>
        <v>#REF!</v>
      </c>
    </row>
    <row r="22" spans="1:49" x14ac:dyDescent="0.25">
      <c r="A22" s="3" t="s">
        <v>31</v>
      </c>
      <c r="B22" s="9">
        <v>0.21249999999999999</v>
      </c>
      <c r="C22" s="9">
        <f>B22</f>
        <v>0.21249999999999999</v>
      </c>
      <c r="D22" s="7">
        <v>0.21</v>
      </c>
      <c r="E22" s="30">
        <v>0.1925</v>
      </c>
      <c r="F22" s="7">
        <v>0.19</v>
      </c>
      <c r="G22" s="31">
        <f>F22-0.25%</f>
        <v>0.1875</v>
      </c>
      <c r="H22" s="30">
        <f t="shared" si="10"/>
        <v>0.1875</v>
      </c>
      <c r="I22" s="32">
        <f>H22-0.25%</f>
        <v>0.185</v>
      </c>
      <c r="J22" s="30">
        <f t="shared" si="10"/>
        <v>0.185</v>
      </c>
      <c r="K22" s="30">
        <f t="shared" si="10"/>
        <v>0.185</v>
      </c>
      <c r="L22" s="3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1" t="e">
        <f>#REF!-0.15%</f>
        <v>#REF!</v>
      </c>
    </row>
    <row r="23" spans="1:49" x14ac:dyDescent="0.25">
      <c r="A23" s="3" t="s">
        <v>32</v>
      </c>
      <c r="B23" s="7">
        <v>0.97</v>
      </c>
      <c r="C23" s="7">
        <v>0.97</v>
      </c>
      <c r="D23" s="7">
        <f>C23</f>
        <v>0.97</v>
      </c>
      <c r="E23" s="7">
        <f>D23</f>
        <v>0.97</v>
      </c>
      <c r="F23" s="7">
        <f>E23</f>
        <v>0.97</v>
      </c>
      <c r="G23" s="7">
        <f t="shared" si="10"/>
        <v>0.97</v>
      </c>
      <c r="H23" s="7">
        <f t="shared" si="10"/>
        <v>0.97</v>
      </c>
      <c r="I23" s="7">
        <f t="shared" si="10"/>
        <v>0.97</v>
      </c>
      <c r="J23" s="7">
        <f t="shared" si="10"/>
        <v>0.97</v>
      </c>
      <c r="K23" s="7">
        <f t="shared" si="10"/>
        <v>0.97</v>
      </c>
      <c r="L23" s="7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21" t="e">
        <f>#REF!</f>
        <v>#REF!</v>
      </c>
      <c r="AW23" s="33" t="e">
        <f>#REF!-#REF!</f>
        <v>#REF!</v>
      </c>
    </row>
    <row r="24" spans="1:49" x14ac:dyDescent="0.25"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21"/>
      <c r="AW24" s="33"/>
    </row>
    <row r="25" spans="1:49" s="34" customFormat="1" x14ac:dyDescent="0.25">
      <c r="A25" s="34" t="s">
        <v>33</v>
      </c>
      <c r="B25" s="35">
        <f t="shared" ref="B25:G25" si="11">B59</f>
        <v>0</v>
      </c>
      <c r="C25" s="35">
        <f t="shared" si="11"/>
        <v>0</v>
      </c>
      <c r="D25" s="35">
        <f t="shared" si="11"/>
        <v>235</v>
      </c>
      <c r="E25" s="35">
        <f t="shared" si="11"/>
        <v>0</v>
      </c>
      <c r="F25" s="35">
        <f t="shared" si="11"/>
        <v>0</v>
      </c>
      <c r="G25" s="35">
        <f t="shared" si="11"/>
        <v>0</v>
      </c>
      <c r="H25" s="35">
        <f>H59</f>
        <v>150</v>
      </c>
      <c r="I25" s="35">
        <f>I59</f>
        <v>0</v>
      </c>
      <c r="J25" s="35">
        <f>J59</f>
        <v>0</v>
      </c>
      <c r="K25" s="35">
        <f>K59</f>
        <v>0</v>
      </c>
      <c r="L25" s="35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7">
        <f>AV59</f>
        <v>0</v>
      </c>
      <c r="AW25" s="38"/>
    </row>
    <row r="26" spans="1:49" x14ac:dyDescent="0.25">
      <c r="A26" s="3" t="s">
        <v>34</v>
      </c>
      <c r="B26" s="35">
        <v>11900</v>
      </c>
      <c r="C26" s="35">
        <v>0</v>
      </c>
      <c r="D26" s="35">
        <v>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5">
        <v>0</v>
      </c>
    </row>
    <row r="27" spans="1:49" s="34" customFormat="1" x14ac:dyDescent="0.25">
      <c r="A27" s="34" t="s">
        <v>35</v>
      </c>
      <c r="B27" s="35">
        <f t="shared" ref="B27:G27" si="12">B56</f>
        <v>0</v>
      </c>
      <c r="C27" s="35">
        <f t="shared" si="12"/>
        <v>0</v>
      </c>
      <c r="D27" s="35">
        <f t="shared" si="12"/>
        <v>0</v>
      </c>
      <c r="E27" s="35">
        <f t="shared" si="12"/>
        <v>0</v>
      </c>
      <c r="F27" s="35">
        <f t="shared" si="12"/>
        <v>0</v>
      </c>
      <c r="G27" s="35">
        <f t="shared" si="12"/>
        <v>0</v>
      </c>
      <c r="H27" s="35">
        <f>H56</f>
        <v>0</v>
      </c>
      <c r="I27" s="35">
        <f>I56</f>
        <v>0</v>
      </c>
      <c r="J27" s="35">
        <f>J56</f>
        <v>0</v>
      </c>
      <c r="K27" s="35">
        <f>K56</f>
        <v>0</v>
      </c>
      <c r="L27" s="35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7">
        <f>AV56</f>
        <v>20</v>
      </c>
      <c r="AW27" s="38"/>
    </row>
    <row r="28" spans="1:49" s="34" customFormat="1" x14ac:dyDescent="0.25">
      <c r="A28" s="34" t="s">
        <v>36</v>
      </c>
      <c r="B28" s="7">
        <v>0.125</v>
      </c>
      <c r="C28" s="7">
        <v>0.12</v>
      </c>
      <c r="D28" s="7">
        <f t="shared" ref="D28:G28" si="13">C28-0.5%</f>
        <v>0.11499999999999999</v>
      </c>
      <c r="E28" s="7">
        <f t="shared" si="13"/>
        <v>0.10999999999999999</v>
      </c>
      <c r="F28" s="7">
        <f>E28+1.5%</f>
        <v>0.12499999999999999</v>
      </c>
      <c r="G28" s="7">
        <f t="shared" si="13"/>
        <v>0.11999999999999998</v>
      </c>
      <c r="H28" s="27">
        <f>G28-0%</f>
        <v>0.11999999999999998</v>
      </c>
      <c r="I28" s="7">
        <f>H28-0.5%</f>
        <v>0.11499999999999998</v>
      </c>
      <c r="J28" s="27">
        <f>I28-0%</f>
        <v>0.11499999999999998</v>
      </c>
      <c r="K28" s="7">
        <f>J28-0%</f>
        <v>0.11499999999999998</v>
      </c>
      <c r="L28" s="7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9" t="e">
        <f>#REF!-0.5%</f>
        <v>#REF!</v>
      </c>
      <c r="AW28" s="38"/>
    </row>
    <row r="29" spans="1:49" x14ac:dyDescent="0.25">
      <c r="A29" s="34" t="s">
        <v>37</v>
      </c>
      <c r="B29" s="23">
        <f>Assumptions!B60</f>
        <v>0</v>
      </c>
      <c r="C29" s="23">
        <f>Assumptions!C60</f>
        <v>0</v>
      </c>
      <c r="D29" s="23">
        <f>Assumptions!D60</f>
        <v>1250</v>
      </c>
      <c r="E29" s="23">
        <f>Assumptions!E60</f>
        <v>950</v>
      </c>
      <c r="F29" s="23">
        <f>Assumptions!F60</f>
        <v>1200</v>
      </c>
      <c r="G29" s="23">
        <f>Assumptions!G60</f>
        <v>1350</v>
      </c>
      <c r="H29" s="23">
        <f>Assumptions!H60</f>
        <v>1850</v>
      </c>
      <c r="I29" s="23">
        <f>Assumptions!I60</f>
        <v>1950</v>
      </c>
      <c r="J29" s="23">
        <f>Assumptions!J60</f>
        <v>2800</v>
      </c>
      <c r="K29" s="23">
        <f>Assumptions!K60</f>
        <v>3000</v>
      </c>
      <c r="L29" s="23">
        <v>2800</v>
      </c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40">
        <f>Assumptions!AV60</f>
        <v>550</v>
      </c>
    </row>
    <row r="30" spans="1:49" x14ac:dyDescent="0.25">
      <c r="A30" s="34" t="s">
        <v>38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21">
        <v>0</v>
      </c>
    </row>
    <row r="31" spans="1:49" x14ac:dyDescent="0.25">
      <c r="A31" s="34" t="s">
        <v>39</v>
      </c>
      <c r="B31" s="7">
        <v>0.11</v>
      </c>
      <c r="C31" s="7">
        <v>0.12</v>
      </c>
      <c r="D31" s="7">
        <f>C31</f>
        <v>0.12</v>
      </c>
      <c r="E31" s="7">
        <f>D31-0.25%</f>
        <v>0.11749999999999999</v>
      </c>
      <c r="F31" s="7">
        <f>E31-0.25%</f>
        <v>0.11499999999999999</v>
      </c>
      <c r="G31" s="7">
        <f>F31-0.25%</f>
        <v>0.11249999999999999</v>
      </c>
      <c r="H31" s="7">
        <f>G31-0.25%</f>
        <v>0.10999999999999999</v>
      </c>
      <c r="I31" s="7">
        <f>H31-0.25%</f>
        <v>0.10749999999999998</v>
      </c>
      <c r="J31" s="7">
        <f>I31</f>
        <v>0.10749999999999998</v>
      </c>
      <c r="K31" s="7">
        <f>J31</f>
        <v>0.10749999999999998</v>
      </c>
      <c r="L31" s="7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1" t="e">
        <f>#REF!-0.25%</f>
        <v>#REF!</v>
      </c>
    </row>
    <row r="32" spans="1:49" x14ac:dyDescent="0.25">
      <c r="A32" s="3" t="s">
        <v>40</v>
      </c>
      <c r="B32" s="35">
        <f>Assumptions!B58</f>
        <v>0</v>
      </c>
      <c r="C32" s="35">
        <f>Assumptions!C58</f>
        <v>0</v>
      </c>
      <c r="D32" s="35">
        <f>Assumptions!D58</f>
        <v>75</v>
      </c>
      <c r="E32" s="35">
        <f>Assumptions!E58</f>
        <v>0</v>
      </c>
      <c r="F32" s="35">
        <f>Assumptions!F58</f>
        <v>0</v>
      </c>
      <c r="G32" s="35">
        <f>Assumptions!G58</f>
        <v>0</v>
      </c>
      <c r="H32" s="35">
        <f>Assumptions!H58</f>
        <v>0</v>
      </c>
      <c r="I32" s="35">
        <f>Assumptions!I58</f>
        <v>0</v>
      </c>
      <c r="J32" s="35">
        <f>Assumptions!J58</f>
        <v>0</v>
      </c>
      <c r="K32" s="35">
        <f>Assumptions!K58</f>
        <v>0</v>
      </c>
      <c r="L32" s="35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40" t="e">
        <f>#REF!+5</f>
        <v>#REF!</v>
      </c>
    </row>
    <row r="33" spans="1:48" x14ac:dyDescent="0.25">
      <c r="A33" s="3" t="s">
        <v>41</v>
      </c>
      <c r="B33" s="7">
        <v>0.11</v>
      </c>
      <c r="C33" s="7">
        <v>0.1</v>
      </c>
      <c r="D33" s="7">
        <f>C33-0.5%</f>
        <v>9.5000000000000001E-2</v>
      </c>
      <c r="E33" s="7">
        <v>0.11</v>
      </c>
      <c r="F33" s="7">
        <f>E33-0.25%</f>
        <v>0.1075</v>
      </c>
      <c r="G33" s="7">
        <f>F33-0.25%</f>
        <v>0.105</v>
      </c>
      <c r="H33" s="7">
        <f>G33</f>
        <v>0.105</v>
      </c>
      <c r="I33" s="7">
        <f>H33</f>
        <v>0.105</v>
      </c>
      <c r="J33" s="7">
        <f>I33</f>
        <v>0.105</v>
      </c>
      <c r="K33" s="7">
        <f>J33</f>
        <v>0.105</v>
      </c>
      <c r="L33" s="7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41" t="e">
        <f>#REF!-0.25%</f>
        <v>#REF!</v>
      </c>
    </row>
    <row r="34" spans="1:48" x14ac:dyDescent="0.25">
      <c r="A34" s="3" t="s">
        <v>42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21">
        <v>0</v>
      </c>
    </row>
    <row r="35" spans="1:48" x14ac:dyDescent="0.25">
      <c r="A35" s="34" t="s">
        <v>43</v>
      </c>
      <c r="B35" s="35">
        <f>7-2.5</f>
        <v>4.5</v>
      </c>
      <c r="C35" s="35">
        <v>1</v>
      </c>
      <c r="D35" s="35">
        <v>2.5</v>
      </c>
      <c r="E35" s="35">
        <v>2.5</v>
      </c>
      <c r="F35" s="35">
        <v>2.5</v>
      </c>
      <c r="G35" s="42">
        <v>4.5</v>
      </c>
      <c r="H35" s="42">
        <f>G35+0.5</f>
        <v>5</v>
      </c>
      <c r="I35" s="42">
        <f>H35+0.5</f>
        <v>5.5</v>
      </c>
      <c r="J35" s="42">
        <f>I35+0.5</f>
        <v>6</v>
      </c>
      <c r="K35" s="42">
        <f>J35+0.5</f>
        <v>6.5</v>
      </c>
      <c r="L35" s="42"/>
      <c r="AV35" s="4">
        <v>1</v>
      </c>
    </row>
    <row r="36" spans="1:48" x14ac:dyDescent="0.25">
      <c r="A36" s="34" t="s">
        <v>44</v>
      </c>
      <c r="B36" s="7">
        <v>3.4999927501313054E-2</v>
      </c>
      <c r="C36" s="9">
        <v>3.5000000000000003E-2</v>
      </c>
      <c r="D36" s="9">
        <v>3.4999999999999996E-2</v>
      </c>
      <c r="E36" s="9">
        <v>3.4999999999999996E-2</v>
      </c>
      <c r="F36" s="9">
        <v>3.5000000000000003E-2</v>
      </c>
      <c r="G36" s="9">
        <v>3.5000000000000003E-2</v>
      </c>
      <c r="H36" s="9">
        <v>3.4999999999999996E-2</v>
      </c>
      <c r="I36" s="9">
        <v>3.5000000000000003E-2</v>
      </c>
      <c r="J36" s="9">
        <v>3.5000000000000003E-2</v>
      </c>
      <c r="K36" s="9">
        <v>3.5000000000000003E-2</v>
      </c>
      <c r="L36" s="9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1"/>
    </row>
    <row r="37" spans="1:48" x14ac:dyDescent="0.25">
      <c r="A37" s="39" t="s">
        <v>45</v>
      </c>
      <c r="B37" s="7">
        <v>1.7729254066490566E-2</v>
      </c>
      <c r="C37" s="7">
        <v>1.7161943098166224E-2</v>
      </c>
      <c r="D37" s="7">
        <v>2.0390668293509186E-2</v>
      </c>
      <c r="E37" s="7">
        <v>2.0390668293509186E-2</v>
      </c>
      <c r="F37" s="7">
        <v>2.0390668293509186E-2</v>
      </c>
      <c r="G37" s="7">
        <v>2.0181363877978604E-2</v>
      </c>
      <c r="H37" s="7">
        <v>1.9948106435788131E-2</v>
      </c>
      <c r="I37" s="7">
        <v>1.9837312733072189E-2</v>
      </c>
      <c r="J37" s="7">
        <v>2.0133814262204976E-2</v>
      </c>
      <c r="K37" s="7">
        <v>1.982547105376186E-2</v>
      </c>
      <c r="L37" s="7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1"/>
    </row>
    <row r="38" spans="1:48" x14ac:dyDescent="0.25">
      <c r="A38" s="39"/>
      <c r="B38" s="7"/>
      <c r="C38" s="35"/>
      <c r="D38" s="35"/>
      <c r="E38" s="35"/>
      <c r="F38" s="35"/>
      <c r="G38" s="35"/>
      <c r="H38" s="43"/>
      <c r="I38" s="43"/>
      <c r="J38" s="43"/>
      <c r="K38" s="43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1"/>
    </row>
    <row r="39" spans="1:48" hidden="1" x14ac:dyDescent="0.25">
      <c r="A39" s="39" t="s">
        <v>46</v>
      </c>
      <c r="B39" s="23">
        <v>35.365050000000004</v>
      </c>
      <c r="C39" s="23">
        <v>53.539007888940006</v>
      </c>
      <c r="D39" s="23">
        <v>103.191508</v>
      </c>
      <c r="E39" s="23">
        <v>109.12288576</v>
      </c>
      <c r="F39" s="23">
        <v>130.32102003200001</v>
      </c>
      <c r="G39" s="23">
        <v>155.95721402240002</v>
      </c>
      <c r="H39" s="17">
        <v>64.277833749999999</v>
      </c>
      <c r="I39" s="17">
        <v>90.11170024999997</v>
      </c>
      <c r="J39" s="17">
        <v>109.45514515000001</v>
      </c>
      <c r="K39" s="17">
        <v>109.45514515000001</v>
      </c>
      <c r="L39" s="17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1"/>
    </row>
    <row r="40" spans="1:48" hidden="1" x14ac:dyDescent="0.25">
      <c r="A40" s="39" t="s">
        <v>47</v>
      </c>
      <c r="B40" s="23">
        <f>B39-'BS '!I36</f>
        <v>27.212850200000005</v>
      </c>
      <c r="C40" s="23">
        <f>C39-'BS '!J36</f>
        <v>40.379999475840009</v>
      </c>
      <c r="D40" s="23">
        <v>90.032499586900002</v>
      </c>
      <c r="E40" s="23">
        <f>E39-'BS '!L36</f>
        <v>109.12288576</v>
      </c>
      <c r="F40" s="23">
        <f>F39-'BS '!M36</f>
        <v>130.32102003200001</v>
      </c>
      <c r="G40" s="23">
        <f>G39-'BS '!N36</f>
        <v>155.95721402240002</v>
      </c>
      <c r="H40" s="17">
        <v>48.455597750000003</v>
      </c>
      <c r="I40" s="17">
        <v>67.930358649999974</v>
      </c>
      <c r="J40" s="17">
        <v>82.512340190000003</v>
      </c>
      <c r="K40" s="17">
        <v>82.512340190000003</v>
      </c>
      <c r="L40" s="17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1"/>
    </row>
    <row r="41" spans="1:48" hidden="1" x14ac:dyDescent="0.25">
      <c r="A41" s="34" t="s">
        <v>44</v>
      </c>
      <c r="B41" s="7">
        <v>3.5000000000000003E-2</v>
      </c>
      <c r="C41" s="7">
        <v>3.5000000000000003E-2</v>
      </c>
      <c r="D41" s="7">
        <v>3.4999999999999996E-2</v>
      </c>
      <c r="E41" s="7">
        <v>3.4999999999999996E-2</v>
      </c>
      <c r="F41" s="7">
        <v>3.5000000000000003E-2</v>
      </c>
      <c r="G41" s="7">
        <v>3.5000000000000003E-2</v>
      </c>
      <c r="H41" s="17">
        <f>C40-H40</f>
        <v>-8.0755982741599937</v>
      </c>
      <c r="I41" s="17">
        <f>D40-I40</f>
        <v>22.102140936900028</v>
      </c>
      <c r="J41" s="17">
        <f>E40-J40</f>
        <v>26.610545569999999</v>
      </c>
      <c r="K41" s="17">
        <f>F40-K40</f>
        <v>47.808679842000004</v>
      </c>
      <c r="L41" s="17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1"/>
    </row>
    <row r="42" spans="1:48" hidden="1" x14ac:dyDescent="0.25">
      <c r="A42" s="39" t="s">
        <v>45</v>
      </c>
      <c r="B42" s="7">
        <v>2.7151005633936822E-2</v>
      </c>
      <c r="C42" s="7">
        <v>2.6626628675825909E-2</v>
      </c>
      <c r="D42" s="7">
        <v>3.0673693850679726E-2</v>
      </c>
      <c r="E42" s="7">
        <v>3.4999999999999996E-2</v>
      </c>
      <c r="F42" s="7">
        <v>3.5000000000000003E-2</v>
      </c>
      <c r="G42" s="7">
        <v>3.5000000000000003E-2</v>
      </c>
    </row>
    <row r="43" spans="1:48" x14ac:dyDescent="0.25">
      <c r="A43" s="44"/>
      <c r="B43" s="45"/>
      <c r="C43" s="45"/>
      <c r="D43" s="45"/>
      <c r="E43" s="45"/>
      <c r="F43" s="45"/>
      <c r="G43" s="45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7"/>
    </row>
    <row r="44" spans="1:48" x14ac:dyDescent="0.25">
      <c r="A44" s="48" t="s">
        <v>48</v>
      </c>
      <c r="B44" s="49">
        <f>'BS '!I50</f>
        <v>9.1876765489998053</v>
      </c>
      <c r="C44" s="49">
        <f>'BS '!J50</f>
        <v>74.275138346000006</v>
      </c>
      <c r="D44" s="49">
        <f>'BS '!K50</f>
        <v>62.371604995140103</v>
      </c>
      <c r="E44" s="49">
        <f>'BS '!L50</f>
        <v>244.25972786645065</v>
      </c>
      <c r="F44" s="49">
        <f>'BS '!M50</f>
        <v>357.88139994216891</v>
      </c>
      <c r="G44" s="49">
        <f>'BS '!N50</f>
        <v>324.64496964482498</v>
      </c>
      <c r="H44" s="49">
        <f>'BS '!O50</f>
        <v>367.44906627692467</v>
      </c>
      <c r="I44" s="49">
        <f>'BS '!P50</f>
        <v>472.65406079689876</v>
      </c>
      <c r="J44" s="49">
        <f>'BS '!Q50</f>
        <v>504.49058234152943</v>
      </c>
      <c r="K44" s="49">
        <f>'BS '!R50</f>
        <v>511.34759856876894</v>
      </c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7"/>
    </row>
    <row r="45" spans="1:48" x14ac:dyDescent="0.25">
      <c r="A45" s="48" t="s">
        <v>49</v>
      </c>
      <c r="B45" s="49">
        <f>'P&amp;L'!I34</f>
        <v>21.952231300000008</v>
      </c>
      <c r="C45" s="49">
        <f>'P&amp;L'!J34</f>
        <v>52.230197429537206</v>
      </c>
      <c r="D45" s="49">
        <v>15.579306616521286</v>
      </c>
      <c r="E45" s="49">
        <f>'P&amp;L'!L34</f>
        <v>89.966509912788567</v>
      </c>
      <c r="F45" s="49">
        <f>'P&amp;L'!M34</f>
        <v>129.53574033275228</v>
      </c>
      <c r="G45" s="49">
        <f>'P&amp;L'!N34</f>
        <v>165.22393521976142</v>
      </c>
      <c r="H45" s="49">
        <f>'P&amp;L'!O34</f>
        <v>209.4436262735401</v>
      </c>
      <c r="I45" s="49">
        <f>'P&amp;L'!P34</f>
        <v>262.31735934635475</v>
      </c>
      <c r="J45" s="49">
        <f>'P&amp;L'!Q34</f>
        <v>311.01349979407161</v>
      </c>
      <c r="K45" s="49">
        <f>'P&amp;L'!R34</f>
        <v>380.42006762056417</v>
      </c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7"/>
    </row>
    <row r="46" spans="1:48" x14ac:dyDescent="0.25">
      <c r="A46" s="44"/>
      <c r="B46" s="50"/>
      <c r="C46" s="51"/>
      <c r="D46" s="51"/>
      <c r="E46" s="52"/>
      <c r="F46" s="52"/>
      <c r="G46" s="52"/>
      <c r="H46" s="46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</row>
    <row r="47" spans="1:48" x14ac:dyDescent="0.25">
      <c r="A47" s="54" t="s">
        <v>50</v>
      </c>
      <c r="B47" s="55"/>
      <c r="C47" s="56"/>
      <c r="D47" s="56"/>
      <c r="E47" s="56"/>
      <c r="F47" s="56"/>
      <c r="G47" s="56"/>
      <c r="H47" s="56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</row>
    <row r="48" spans="1:48" x14ac:dyDescent="0.25">
      <c r="A48" s="58" t="s">
        <v>51</v>
      </c>
      <c r="B48" s="59"/>
      <c r="C48" s="56"/>
      <c r="D48" s="56"/>
      <c r="E48" s="56">
        <f t="shared" ref="E48:H48" si="14">+D44</f>
        <v>62.371604995140103</v>
      </c>
      <c r="F48" s="56">
        <f t="shared" si="14"/>
        <v>244.25972786645065</v>
      </c>
      <c r="G48" s="56">
        <f t="shared" si="14"/>
        <v>357.88139994216891</v>
      </c>
      <c r="H48" s="56">
        <f t="shared" si="14"/>
        <v>324.64496964482498</v>
      </c>
      <c r="I48" s="56">
        <f>+H44</f>
        <v>367.44906627692467</v>
      </c>
      <c r="J48" s="56">
        <f>+I44</f>
        <v>472.65406079689876</v>
      </c>
      <c r="K48" s="56">
        <f>+J44</f>
        <v>504.49058234152943</v>
      </c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</row>
    <row r="49" spans="1:48" x14ac:dyDescent="0.25">
      <c r="A49" s="53" t="s">
        <v>52</v>
      </c>
      <c r="B49" s="60"/>
      <c r="C49" s="60"/>
      <c r="D49" s="60"/>
      <c r="E49" s="60">
        <v>1250</v>
      </c>
      <c r="F49" s="60">
        <v>2060</v>
      </c>
      <c r="G49" s="60">
        <v>2470</v>
      </c>
      <c r="H49" s="60">
        <v>2960</v>
      </c>
      <c r="I49" s="60">
        <v>3550</v>
      </c>
      <c r="J49" s="60">
        <v>4260</v>
      </c>
      <c r="K49" s="60">
        <v>5110</v>
      </c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61">
        <v>3550</v>
      </c>
    </row>
    <row r="50" spans="1:48" x14ac:dyDescent="0.25">
      <c r="A50" s="53" t="s">
        <v>53</v>
      </c>
      <c r="B50" s="56"/>
      <c r="C50" s="56"/>
      <c r="D50" s="56"/>
      <c r="E50" s="56">
        <v>1036.1027014003996</v>
      </c>
      <c r="F50" s="56">
        <v>845.58871268797634</v>
      </c>
      <c r="G50" s="56">
        <v>854.11721777630305</v>
      </c>
      <c r="H50" s="56">
        <v>1197.0658726684444</v>
      </c>
      <c r="I50" s="56">
        <v>1731.2208333333333</v>
      </c>
      <c r="J50" s="56">
        <v>2048.333333333333</v>
      </c>
      <c r="K50" s="56">
        <v>2087.7777777777778</v>
      </c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47">
        <v>2048.333333333333</v>
      </c>
    </row>
    <row r="51" spans="1:48" x14ac:dyDescent="0.25">
      <c r="A51" s="53" t="s">
        <v>54</v>
      </c>
      <c r="B51" s="56"/>
      <c r="C51" s="56"/>
      <c r="D51" s="56"/>
      <c r="E51" s="56">
        <f>'P&amp;L'!L34</f>
        <v>89.966509912788567</v>
      </c>
      <c r="F51" s="56">
        <f>'P&amp;L'!M34</f>
        <v>129.53574033275228</v>
      </c>
      <c r="G51" s="56">
        <f>'P&amp;L'!N34</f>
        <v>165.22393521976142</v>
      </c>
      <c r="H51" s="56">
        <f>'P&amp;L'!O34</f>
        <v>209.4436262735401</v>
      </c>
      <c r="I51" s="56">
        <f>'P&amp;L'!P34</f>
        <v>262.31735934635475</v>
      </c>
      <c r="J51" s="56">
        <f>'P&amp;L'!Q34</f>
        <v>311.01349979407161</v>
      </c>
      <c r="K51" s="56">
        <f>'P&amp;L'!R34</f>
        <v>380.42006762056417</v>
      </c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47" t="e">
        <f>'P&amp;L'!#REF!</f>
        <v>#REF!</v>
      </c>
    </row>
    <row r="52" spans="1:48" x14ac:dyDescent="0.25">
      <c r="A52" s="63" t="s">
        <v>55</v>
      </c>
      <c r="B52" s="64"/>
      <c r="C52" s="64"/>
      <c r="D52" s="64"/>
      <c r="E52" s="64">
        <v>950.5320640000001</v>
      </c>
      <c r="F52" s="64">
        <v>1244.3390208000001</v>
      </c>
      <c r="G52" s="64">
        <v>1487.5373145599999</v>
      </c>
      <c r="H52" s="64">
        <v>1748.9781101760004</v>
      </c>
      <c r="I52" s="64">
        <v>2787.7769161855999</v>
      </c>
      <c r="J52" s="64">
        <v>2766.30788099744</v>
      </c>
      <c r="K52" s="64">
        <v>3274.6001226483359</v>
      </c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6">
        <v>2787.7769161855999</v>
      </c>
    </row>
    <row r="53" spans="1:48" x14ac:dyDescent="0.25">
      <c r="A53" s="53" t="s">
        <v>50</v>
      </c>
      <c r="B53" s="67"/>
      <c r="C53" s="67"/>
      <c r="D53" s="67"/>
      <c r="E53" s="67">
        <f t="shared" ref="E53:K53" si="15">E49+E50-E52-E51-E48</f>
        <v>1183.2325224924707</v>
      </c>
      <c r="F53" s="67">
        <f t="shared" si="15"/>
        <v>1287.454223688773</v>
      </c>
      <c r="G53" s="67">
        <f t="shared" si="15"/>
        <v>1313.4745680543726</v>
      </c>
      <c r="H53" s="67">
        <f t="shared" si="15"/>
        <v>1873.9991665740786</v>
      </c>
      <c r="I53" s="67">
        <f t="shared" si="15"/>
        <v>1863.6774915244534</v>
      </c>
      <c r="J53" s="67">
        <f t="shared" si="15"/>
        <v>2758.3578917449227</v>
      </c>
      <c r="K53" s="67">
        <f t="shared" si="15"/>
        <v>3038.2670051673481</v>
      </c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  <c r="AV53" s="69" t="e">
        <f>AV49+AV50-AV52-AV51</f>
        <v>#REF!</v>
      </c>
    </row>
    <row r="54" spans="1:48" x14ac:dyDescent="0.25">
      <c r="A54" s="53" t="s">
        <v>56</v>
      </c>
      <c r="B54" s="56"/>
      <c r="C54" s="56"/>
      <c r="D54" s="56"/>
      <c r="E54" s="56"/>
      <c r="F54" s="56"/>
      <c r="G54" s="56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47"/>
    </row>
    <row r="55" spans="1:48" x14ac:dyDescent="0.25">
      <c r="A55" s="53" t="s">
        <v>57</v>
      </c>
      <c r="B55" s="60"/>
      <c r="C55" s="60"/>
      <c r="D55" s="60">
        <v>48.126103200000003</v>
      </c>
      <c r="E55" s="60">
        <v>130</v>
      </c>
      <c r="F55" s="60">
        <v>210</v>
      </c>
      <c r="G55" s="60">
        <v>250</v>
      </c>
      <c r="H55" s="60">
        <v>150</v>
      </c>
      <c r="I55" s="60">
        <v>360</v>
      </c>
      <c r="J55" s="60">
        <v>430</v>
      </c>
      <c r="K55" s="60">
        <v>510</v>
      </c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47">
        <v>360</v>
      </c>
    </row>
    <row r="56" spans="1:48" x14ac:dyDescent="0.25">
      <c r="A56" s="53" t="s">
        <v>58</v>
      </c>
      <c r="B56" s="60"/>
      <c r="C56" s="60"/>
      <c r="D56" s="60">
        <v>0</v>
      </c>
      <c r="E56" s="60">
        <v>0</v>
      </c>
      <c r="F56" s="60">
        <v>0</v>
      </c>
      <c r="G56" s="60">
        <v>0</v>
      </c>
      <c r="H56" s="60">
        <v>0</v>
      </c>
      <c r="I56" s="60">
        <v>0</v>
      </c>
      <c r="J56" s="60">
        <v>0</v>
      </c>
      <c r="K56" s="60">
        <v>0</v>
      </c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61">
        <v>20</v>
      </c>
    </row>
    <row r="57" spans="1:48" x14ac:dyDescent="0.25">
      <c r="A57" s="70" t="s">
        <v>59</v>
      </c>
      <c r="B57" s="60"/>
      <c r="C57" s="60"/>
      <c r="D57" s="60">
        <v>0</v>
      </c>
      <c r="E57" s="60">
        <v>0</v>
      </c>
      <c r="F57" s="60">
        <v>0</v>
      </c>
      <c r="G57" s="60">
        <v>0</v>
      </c>
      <c r="H57" s="60">
        <v>0</v>
      </c>
      <c r="I57" s="60">
        <v>0</v>
      </c>
      <c r="J57" s="60">
        <v>0</v>
      </c>
      <c r="K57" s="60">
        <v>0</v>
      </c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61"/>
    </row>
    <row r="58" spans="1:48" x14ac:dyDescent="0.25">
      <c r="A58" s="53" t="s">
        <v>60</v>
      </c>
      <c r="B58" s="60"/>
      <c r="C58" s="60"/>
      <c r="D58" s="60">
        <f>30-1.5+46.5</f>
        <v>75</v>
      </c>
      <c r="E58" s="60">
        <v>0</v>
      </c>
      <c r="F58" s="60">
        <v>0</v>
      </c>
      <c r="G58" s="60">
        <v>0</v>
      </c>
      <c r="H58" s="60">
        <v>0</v>
      </c>
      <c r="I58" s="60">
        <v>0</v>
      </c>
      <c r="J58" s="60">
        <v>0</v>
      </c>
      <c r="K58" s="60">
        <v>0</v>
      </c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61">
        <v>70</v>
      </c>
    </row>
    <row r="59" spans="1:48" x14ac:dyDescent="0.25">
      <c r="A59" s="53" t="s">
        <v>61</v>
      </c>
      <c r="B59" s="60"/>
      <c r="C59" s="60"/>
      <c r="D59" s="60">
        <v>235</v>
      </c>
      <c r="E59" s="60">
        <v>0</v>
      </c>
      <c r="F59" s="60">
        <v>0</v>
      </c>
      <c r="G59" s="60">
        <v>0</v>
      </c>
      <c r="H59" s="60">
        <v>150</v>
      </c>
      <c r="I59" s="60">
        <v>0</v>
      </c>
      <c r="J59" s="60">
        <v>0</v>
      </c>
      <c r="K59" s="60">
        <v>0</v>
      </c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61">
        <v>0</v>
      </c>
    </row>
    <row r="60" spans="1:48" x14ac:dyDescent="0.25">
      <c r="A60" s="71" t="s">
        <v>62</v>
      </c>
      <c r="B60" s="72"/>
      <c r="C60" s="72"/>
      <c r="D60" s="72">
        <v>1250</v>
      </c>
      <c r="E60" s="72">
        <f>1200-250</f>
        <v>950</v>
      </c>
      <c r="F60" s="72">
        <v>1200</v>
      </c>
      <c r="G60" s="72">
        <v>1350</v>
      </c>
      <c r="H60" s="72">
        <v>1850</v>
      </c>
      <c r="I60" s="72">
        <v>1950</v>
      </c>
      <c r="J60" s="72">
        <v>2800</v>
      </c>
      <c r="K60" s="72">
        <v>3000</v>
      </c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66">
        <v>550</v>
      </c>
    </row>
    <row r="61" spans="1:48" x14ac:dyDescent="0.25">
      <c r="A61" s="74"/>
      <c r="B61" s="42"/>
      <c r="C61" s="42"/>
      <c r="D61" s="42"/>
      <c r="E61" s="42"/>
      <c r="F61" s="42"/>
      <c r="G61" s="42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6"/>
    </row>
    <row r="62" spans="1:48" x14ac:dyDescent="0.25">
      <c r="A62" s="74"/>
      <c r="B62" s="42"/>
      <c r="C62" s="42"/>
      <c r="D62" s="42"/>
      <c r="E62" s="42"/>
      <c r="F62" s="42"/>
      <c r="G62" s="42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75"/>
      <c r="AN62" s="75"/>
      <c r="AO62" s="75"/>
      <c r="AP62" s="75"/>
      <c r="AQ62" s="75"/>
      <c r="AR62" s="75"/>
      <c r="AS62" s="75"/>
      <c r="AT62" s="75"/>
      <c r="AU62" s="75"/>
      <c r="AV62" s="76"/>
    </row>
    <row r="63" spans="1:48" x14ac:dyDescent="0.25">
      <c r="A63" s="74"/>
      <c r="B63" s="42"/>
      <c r="C63" s="42">
        <f t="shared" ref="C63:K63" si="16">SUM(C55:C60)</f>
        <v>0</v>
      </c>
      <c r="D63" s="42">
        <f t="shared" si="16"/>
        <v>1608.1261032</v>
      </c>
      <c r="E63" s="42">
        <f t="shared" si="16"/>
        <v>1080</v>
      </c>
      <c r="F63" s="42">
        <f t="shared" si="16"/>
        <v>1410</v>
      </c>
      <c r="G63" s="42">
        <f t="shared" si="16"/>
        <v>1600</v>
      </c>
      <c r="H63" s="42">
        <f t="shared" si="16"/>
        <v>2150</v>
      </c>
      <c r="I63" s="42">
        <f t="shared" si="16"/>
        <v>2310</v>
      </c>
      <c r="J63" s="42">
        <f t="shared" si="16"/>
        <v>3230</v>
      </c>
      <c r="K63" s="42">
        <f t="shared" si="16"/>
        <v>3510</v>
      </c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5"/>
      <c r="AN63" s="75"/>
      <c r="AO63" s="75"/>
      <c r="AP63" s="75"/>
      <c r="AQ63" s="75"/>
      <c r="AR63" s="75"/>
      <c r="AS63" s="75"/>
      <c r="AT63" s="75"/>
      <c r="AU63" s="75"/>
      <c r="AV63" s="76"/>
    </row>
    <row r="64" spans="1:48" x14ac:dyDescent="0.25">
      <c r="A64" s="74"/>
      <c r="B64" s="42"/>
      <c r="C64" s="42"/>
      <c r="D64" s="42"/>
      <c r="E64" s="42"/>
      <c r="F64" s="42"/>
      <c r="G64" s="42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  <c r="AS64" s="75"/>
      <c r="AT64" s="75"/>
      <c r="AU64" s="75"/>
      <c r="AV64" s="76"/>
    </row>
    <row r="65" spans="1:48" x14ac:dyDescent="0.25">
      <c r="A65" s="74"/>
      <c r="B65" s="42"/>
      <c r="C65" s="42"/>
      <c r="D65" s="42"/>
      <c r="E65" s="42"/>
      <c r="F65" s="42"/>
      <c r="G65" s="42"/>
      <c r="H65" s="77"/>
      <c r="I65" s="77"/>
      <c r="J65" s="77"/>
      <c r="K65" s="77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6"/>
    </row>
    <row r="66" spans="1:48" x14ac:dyDescent="0.25">
      <c r="A66" s="74"/>
      <c r="B66" s="42"/>
      <c r="C66" s="42"/>
      <c r="D66" s="42"/>
      <c r="E66" s="42"/>
      <c r="F66" s="42"/>
      <c r="G66" s="42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6"/>
    </row>
    <row r="67" spans="1:48" x14ac:dyDescent="0.25">
      <c r="A67" s="74"/>
      <c r="B67" s="42"/>
      <c r="C67" s="42"/>
      <c r="D67" s="42"/>
      <c r="E67" s="42"/>
      <c r="F67" s="42"/>
      <c r="G67" s="42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5"/>
      <c r="AO67" s="75"/>
      <c r="AP67" s="75"/>
      <c r="AQ67" s="75"/>
      <c r="AR67" s="75"/>
      <c r="AS67" s="75"/>
      <c r="AT67" s="75"/>
      <c r="AU67" s="75"/>
      <c r="AV67" s="76"/>
    </row>
    <row r="68" spans="1:48" x14ac:dyDescent="0.25">
      <c r="A68" s="74"/>
      <c r="B68" s="42"/>
      <c r="C68" s="42"/>
      <c r="D68" s="42"/>
      <c r="E68" s="42"/>
      <c r="F68" s="42"/>
      <c r="G68" s="42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  <c r="AV68" s="76"/>
    </row>
    <row r="69" spans="1:48" x14ac:dyDescent="0.25">
      <c r="A69" s="74"/>
      <c r="B69" s="42"/>
      <c r="C69" s="42"/>
      <c r="D69" s="42"/>
      <c r="E69" s="42"/>
      <c r="F69" s="42"/>
      <c r="G69" s="42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76"/>
    </row>
    <row r="70" spans="1:48" x14ac:dyDescent="0.25">
      <c r="A70" s="74"/>
      <c r="B70" s="42"/>
      <c r="C70" s="42"/>
      <c r="D70" s="42"/>
      <c r="E70" s="42"/>
      <c r="F70" s="42"/>
      <c r="G70" s="42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6"/>
    </row>
    <row r="71" spans="1:48" x14ac:dyDescent="0.25">
      <c r="A71" s="74"/>
      <c r="B71" s="42"/>
      <c r="C71" s="42"/>
      <c r="D71" s="42"/>
      <c r="E71" s="42"/>
      <c r="F71" s="42"/>
      <c r="G71" s="42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5"/>
      <c r="AV71" s="76"/>
    </row>
    <row r="72" spans="1:48" x14ac:dyDescent="0.25">
      <c r="A72" s="74"/>
      <c r="B72" s="42"/>
      <c r="C72" s="42"/>
      <c r="D72" s="42"/>
      <c r="E72" s="42"/>
      <c r="F72" s="42"/>
      <c r="G72" s="42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76"/>
    </row>
    <row r="73" spans="1:48" x14ac:dyDescent="0.25">
      <c r="A73" s="74"/>
      <c r="B73" s="42"/>
      <c r="C73" s="42"/>
      <c r="D73" s="42"/>
      <c r="E73" s="42"/>
      <c r="F73" s="42"/>
      <c r="G73" s="42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76"/>
    </row>
    <row r="74" spans="1:48" x14ac:dyDescent="0.25">
      <c r="A74" s="74"/>
      <c r="B74" s="42"/>
      <c r="C74" s="42"/>
      <c r="D74" s="42"/>
      <c r="E74" s="42"/>
      <c r="F74" s="42"/>
      <c r="G74" s="42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  <c r="AP74" s="75"/>
      <c r="AQ74" s="75"/>
      <c r="AR74" s="75"/>
      <c r="AS74" s="75"/>
      <c r="AT74" s="75"/>
      <c r="AU74" s="75"/>
      <c r="AV74" s="76"/>
    </row>
    <row r="75" spans="1:48" x14ac:dyDescent="0.25">
      <c r="A75" s="74"/>
      <c r="B75" s="42"/>
      <c r="C75" s="42"/>
      <c r="D75" s="42"/>
      <c r="E75" s="42"/>
      <c r="F75" s="42"/>
      <c r="G75" s="42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75"/>
      <c r="AP75" s="75"/>
      <c r="AQ75" s="75"/>
      <c r="AR75" s="75"/>
      <c r="AS75" s="75"/>
      <c r="AT75" s="75"/>
      <c r="AU75" s="75"/>
      <c r="AV75" s="76"/>
    </row>
    <row r="76" spans="1:48" x14ac:dyDescent="0.25">
      <c r="A76" s="74"/>
      <c r="B76" s="42"/>
      <c r="C76" s="42"/>
      <c r="D76" s="42"/>
      <c r="E76" s="42"/>
      <c r="F76" s="42"/>
      <c r="G76" s="42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  <c r="AS76" s="75"/>
      <c r="AT76" s="75"/>
      <c r="AU76" s="75"/>
      <c r="AV76" s="76"/>
    </row>
    <row r="77" spans="1:48" x14ac:dyDescent="0.25">
      <c r="A77" s="74"/>
      <c r="B77" s="42"/>
      <c r="C77" s="42"/>
      <c r="D77" s="42"/>
      <c r="E77" s="42"/>
      <c r="F77" s="42"/>
      <c r="G77" s="42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75"/>
      <c r="AK77" s="75"/>
      <c r="AL77" s="75"/>
      <c r="AM77" s="75"/>
      <c r="AN77" s="75"/>
      <c r="AO77" s="75"/>
      <c r="AP77" s="75"/>
      <c r="AQ77" s="75"/>
      <c r="AR77" s="75"/>
      <c r="AS77" s="75"/>
      <c r="AT77" s="75"/>
      <c r="AU77" s="75"/>
      <c r="AV77" s="76"/>
    </row>
    <row r="78" spans="1:48" x14ac:dyDescent="0.25">
      <c r="A78" s="74"/>
      <c r="B78" s="42"/>
      <c r="C78" s="42"/>
      <c r="D78" s="42"/>
      <c r="E78" s="42"/>
      <c r="F78" s="42"/>
      <c r="G78" s="42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75"/>
      <c r="AK78" s="75"/>
      <c r="AL78" s="75"/>
      <c r="AM78" s="75"/>
      <c r="AN78" s="75"/>
      <c r="AO78" s="75"/>
      <c r="AP78" s="75"/>
      <c r="AQ78" s="75"/>
      <c r="AR78" s="75"/>
      <c r="AS78" s="75"/>
      <c r="AT78" s="75"/>
      <c r="AU78" s="75"/>
      <c r="AV78" s="76"/>
    </row>
    <row r="79" spans="1:48" x14ac:dyDescent="0.25">
      <c r="A79" s="74"/>
      <c r="B79" s="42"/>
      <c r="C79" s="42"/>
      <c r="D79" s="42"/>
      <c r="E79" s="42"/>
      <c r="F79" s="42"/>
      <c r="G79" s="42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5"/>
      <c r="AF79" s="75"/>
      <c r="AG79" s="75"/>
      <c r="AH79" s="75"/>
      <c r="AI79" s="75"/>
      <c r="AJ79" s="75"/>
      <c r="AK79" s="75"/>
      <c r="AL79" s="75"/>
      <c r="AM79" s="75"/>
      <c r="AN79" s="75"/>
      <c r="AO79" s="75"/>
      <c r="AP79" s="75"/>
      <c r="AQ79" s="75"/>
      <c r="AR79" s="75"/>
      <c r="AS79" s="75"/>
      <c r="AT79" s="75"/>
      <c r="AU79" s="75"/>
      <c r="AV79" s="76"/>
    </row>
    <row r="80" spans="1:48" x14ac:dyDescent="0.25">
      <c r="A80" s="74"/>
      <c r="B80" s="42"/>
      <c r="C80" s="42"/>
      <c r="D80" s="42"/>
      <c r="E80" s="42"/>
      <c r="F80" s="42"/>
      <c r="G80" s="42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75"/>
      <c r="AK80" s="75"/>
      <c r="AL80" s="75"/>
      <c r="AM80" s="75"/>
      <c r="AN80" s="75"/>
      <c r="AO80" s="75"/>
      <c r="AP80" s="75"/>
      <c r="AQ80" s="75"/>
      <c r="AR80" s="75"/>
      <c r="AS80" s="75"/>
      <c r="AT80" s="75"/>
      <c r="AU80" s="75"/>
      <c r="AV80" s="76"/>
    </row>
    <row r="81" spans="1:48" x14ac:dyDescent="0.25">
      <c r="A81" s="74"/>
      <c r="B81" s="42"/>
      <c r="C81" s="42"/>
      <c r="D81" s="42"/>
      <c r="E81" s="42"/>
      <c r="F81" s="42"/>
      <c r="G81" s="42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75"/>
      <c r="AK81" s="75"/>
      <c r="AL81" s="75"/>
      <c r="AM81" s="75"/>
      <c r="AN81" s="75"/>
      <c r="AO81" s="75"/>
      <c r="AP81" s="75"/>
      <c r="AQ81" s="75"/>
      <c r="AR81" s="75"/>
      <c r="AS81" s="75"/>
      <c r="AT81" s="75"/>
      <c r="AU81" s="75"/>
      <c r="AV81" s="76"/>
    </row>
    <row r="82" spans="1:48" x14ac:dyDescent="0.25">
      <c r="A82" s="74"/>
      <c r="B82" s="42"/>
      <c r="C82" s="42"/>
      <c r="D82" s="42"/>
      <c r="E82" s="42"/>
      <c r="F82" s="42"/>
      <c r="G82" s="42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75"/>
      <c r="AH82" s="75"/>
      <c r="AI82" s="75"/>
      <c r="AJ82" s="75"/>
      <c r="AK82" s="75"/>
      <c r="AL82" s="75"/>
      <c r="AM82" s="75"/>
      <c r="AN82" s="75"/>
      <c r="AO82" s="75"/>
      <c r="AP82" s="75"/>
      <c r="AQ82" s="75"/>
      <c r="AR82" s="75"/>
      <c r="AS82" s="75"/>
      <c r="AT82" s="75"/>
      <c r="AU82" s="75"/>
      <c r="AV82" s="76"/>
    </row>
    <row r="83" spans="1:48" x14ac:dyDescent="0.25">
      <c r="A83" s="74"/>
      <c r="B83" s="42"/>
      <c r="C83" s="42"/>
      <c r="D83" s="42"/>
      <c r="E83" s="42"/>
      <c r="F83" s="42"/>
      <c r="G83" s="42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5"/>
      <c r="AE83" s="75"/>
      <c r="AF83" s="75"/>
      <c r="AG83" s="75"/>
      <c r="AH83" s="75"/>
      <c r="AI83" s="75"/>
      <c r="AJ83" s="75"/>
      <c r="AK83" s="75"/>
      <c r="AL83" s="75"/>
      <c r="AM83" s="75"/>
      <c r="AN83" s="75"/>
      <c r="AO83" s="75"/>
      <c r="AP83" s="75"/>
      <c r="AQ83" s="75"/>
      <c r="AR83" s="75"/>
      <c r="AS83" s="75"/>
      <c r="AT83" s="75"/>
      <c r="AU83" s="75"/>
      <c r="AV83" s="76"/>
    </row>
    <row r="84" spans="1:48" x14ac:dyDescent="0.25">
      <c r="A84" s="74"/>
      <c r="B84" s="42"/>
      <c r="C84" s="42"/>
      <c r="D84" s="42"/>
      <c r="E84" s="42"/>
      <c r="F84" s="42"/>
      <c r="G84" s="42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5"/>
      <c r="AH84" s="75"/>
      <c r="AI84" s="75"/>
      <c r="AJ84" s="75"/>
      <c r="AK84" s="75"/>
      <c r="AL84" s="75"/>
      <c r="AM84" s="75"/>
      <c r="AN84" s="75"/>
      <c r="AO84" s="75"/>
      <c r="AP84" s="75"/>
      <c r="AQ84" s="75"/>
      <c r="AR84" s="75"/>
      <c r="AS84" s="75"/>
      <c r="AT84" s="75"/>
      <c r="AU84" s="75"/>
      <c r="AV84" s="76"/>
    </row>
    <row r="85" spans="1:48" x14ac:dyDescent="0.25">
      <c r="A85" s="74"/>
      <c r="B85" s="42"/>
      <c r="C85" s="42"/>
      <c r="D85" s="42"/>
      <c r="E85" s="42"/>
      <c r="F85" s="42"/>
      <c r="G85" s="42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  <c r="AH85" s="75"/>
      <c r="AI85" s="75"/>
      <c r="AJ85" s="75"/>
      <c r="AK85" s="75"/>
      <c r="AL85" s="75"/>
      <c r="AM85" s="75"/>
      <c r="AN85" s="75"/>
      <c r="AO85" s="75"/>
      <c r="AP85" s="75"/>
      <c r="AQ85" s="75"/>
      <c r="AR85" s="75"/>
      <c r="AS85" s="75"/>
      <c r="AT85" s="75"/>
      <c r="AU85" s="75"/>
      <c r="AV85" s="76"/>
    </row>
    <row r="86" spans="1:48" x14ac:dyDescent="0.25">
      <c r="A86" s="74"/>
      <c r="B86" s="42"/>
      <c r="C86" s="42"/>
      <c r="D86" s="42"/>
      <c r="E86" s="42"/>
      <c r="F86" s="42"/>
      <c r="G86" s="42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5"/>
      <c r="AF86" s="75"/>
      <c r="AG86" s="75"/>
      <c r="AH86" s="75"/>
      <c r="AI86" s="75"/>
      <c r="AJ86" s="75"/>
      <c r="AK86" s="75"/>
      <c r="AL86" s="75"/>
      <c r="AM86" s="75"/>
      <c r="AN86" s="75"/>
      <c r="AO86" s="75"/>
      <c r="AP86" s="75"/>
      <c r="AQ86" s="75"/>
      <c r="AR86" s="75"/>
      <c r="AS86" s="75"/>
      <c r="AT86" s="75"/>
      <c r="AU86" s="75"/>
      <c r="AV86" s="76"/>
    </row>
    <row r="87" spans="1:48" x14ac:dyDescent="0.25">
      <c r="A87" s="74"/>
      <c r="B87" s="42"/>
      <c r="C87" s="42"/>
      <c r="D87" s="42"/>
      <c r="E87" s="42"/>
      <c r="F87" s="42"/>
      <c r="G87" s="42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5"/>
      <c r="AG87" s="75"/>
      <c r="AH87" s="75"/>
      <c r="AI87" s="75"/>
      <c r="AJ87" s="75"/>
      <c r="AK87" s="75"/>
      <c r="AL87" s="75"/>
      <c r="AM87" s="75"/>
      <c r="AN87" s="75"/>
      <c r="AO87" s="75"/>
      <c r="AP87" s="75"/>
      <c r="AQ87" s="75"/>
      <c r="AR87" s="75"/>
      <c r="AS87" s="75"/>
      <c r="AT87" s="75"/>
      <c r="AU87" s="75"/>
      <c r="AV87" s="76"/>
    </row>
    <row r="88" spans="1:48" x14ac:dyDescent="0.25">
      <c r="A88" s="74"/>
      <c r="B88" s="42"/>
      <c r="C88" s="42"/>
      <c r="D88" s="42"/>
      <c r="E88" s="42"/>
      <c r="F88" s="42"/>
      <c r="G88" s="42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  <c r="AH88" s="75"/>
      <c r="AI88" s="75"/>
      <c r="AJ88" s="75"/>
      <c r="AK88" s="75"/>
      <c r="AL88" s="75"/>
      <c r="AM88" s="75"/>
      <c r="AN88" s="75"/>
      <c r="AO88" s="75"/>
      <c r="AP88" s="75"/>
      <c r="AQ88" s="75"/>
      <c r="AR88" s="75"/>
      <c r="AS88" s="75"/>
      <c r="AT88" s="75"/>
      <c r="AU88" s="75"/>
      <c r="AV88" s="76"/>
    </row>
    <row r="89" spans="1:48" x14ac:dyDescent="0.25">
      <c r="A89" s="74"/>
      <c r="B89" s="42"/>
      <c r="C89" s="42"/>
      <c r="D89" s="42"/>
      <c r="E89" s="42"/>
      <c r="F89" s="42"/>
      <c r="G89" s="42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  <c r="AH89" s="75"/>
      <c r="AI89" s="75"/>
      <c r="AJ89" s="75"/>
      <c r="AK89" s="75"/>
      <c r="AL89" s="75"/>
      <c r="AM89" s="75"/>
      <c r="AN89" s="75"/>
      <c r="AO89" s="75"/>
      <c r="AP89" s="75"/>
      <c r="AQ89" s="75"/>
      <c r="AR89" s="75"/>
      <c r="AS89" s="75"/>
      <c r="AT89" s="75"/>
      <c r="AU89" s="75"/>
      <c r="AV89" s="76"/>
    </row>
    <row r="90" spans="1:48" x14ac:dyDescent="0.25">
      <c r="A90" s="74"/>
      <c r="B90" s="42"/>
      <c r="C90" s="42"/>
      <c r="D90" s="42"/>
      <c r="E90" s="42"/>
      <c r="F90" s="42"/>
      <c r="G90" s="42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  <c r="AN90" s="75"/>
      <c r="AO90" s="75"/>
      <c r="AP90" s="75"/>
      <c r="AQ90" s="75"/>
      <c r="AR90" s="75"/>
      <c r="AS90" s="75"/>
      <c r="AT90" s="75"/>
      <c r="AU90" s="75"/>
      <c r="AV90" s="76"/>
    </row>
    <row r="91" spans="1:48" x14ac:dyDescent="0.25">
      <c r="A91" s="74"/>
      <c r="B91" s="42"/>
      <c r="C91" s="42"/>
      <c r="D91" s="42"/>
      <c r="E91" s="42"/>
      <c r="F91" s="42"/>
      <c r="G91" s="42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  <c r="AL91" s="75"/>
      <c r="AM91" s="75"/>
      <c r="AN91" s="75"/>
      <c r="AO91" s="75"/>
      <c r="AP91" s="75"/>
      <c r="AQ91" s="75"/>
      <c r="AR91" s="75"/>
      <c r="AS91" s="75"/>
      <c r="AT91" s="75"/>
      <c r="AU91" s="75"/>
      <c r="AV91" s="76"/>
    </row>
    <row r="92" spans="1:48" x14ac:dyDescent="0.25">
      <c r="A92" s="74"/>
      <c r="B92" s="42"/>
      <c r="C92" s="42"/>
      <c r="D92" s="42"/>
      <c r="E92" s="42"/>
      <c r="F92" s="42"/>
      <c r="G92" s="42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75"/>
      <c r="AK92" s="75"/>
      <c r="AL92" s="75"/>
      <c r="AM92" s="75"/>
      <c r="AN92" s="75"/>
      <c r="AO92" s="75"/>
      <c r="AP92" s="75"/>
      <c r="AQ92" s="75"/>
      <c r="AR92" s="75"/>
      <c r="AS92" s="75"/>
      <c r="AT92" s="75"/>
      <c r="AU92" s="75"/>
      <c r="AV92" s="76"/>
    </row>
    <row r="93" spans="1:48" x14ac:dyDescent="0.25">
      <c r="A93" s="74"/>
      <c r="B93" s="42"/>
      <c r="C93" s="42"/>
      <c r="D93" s="42"/>
      <c r="E93" s="42"/>
      <c r="F93" s="42"/>
      <c r="G93" s="42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  <c r="AH93" s="75"/>
      <c r="AI93" s="75"/>
      <c r="AJ93" s="75"/>
      <c r="AK93" s="75"/>
      <c r="AL93" s="75"/>
      <c r="AM93" s="75"/>
      <c r="AN93" s="75"/>
      <c r="AO93" s="75"/>
      <c r="AP93" s="75"/>
      <c r="AQ93" s="75"/>
      <c r="AR93" s="75"/>
      <c r="AS93" s="75"/>
      <c r="AT93" s="75"/>
      <c r="AU93" s="75"/>
      <c r="AV93" s="76"/>
    </row>
    <row r="94" spans="1:48" x14ac:dyDescent="0.25">
      <c r="A94" s="74"/>
      <c r="B94" s="42"/>
      <c r="C94" s="42"/>
      <c r="D94" s="42"/>
      <c r="E94" s="42"/>
      <c r="F94" s="42"/>
      <c r="G94" s="42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75"/>
      <c r="AH94" s="75"/>
      <c r="AI94" s="75"/>
      <c r="AJ94" s="75"/>
      <c r="AK94" s="75"/>
      <c r="AL94" s="75"/>
      <c r="AM94" s="75"/>
      <c r="AN94" s="75"/>
      <c r="AO94" s="75"/>
      <c r="AP94" s="75"/>
      <c r="AQ94" s="75"/>
      <c r="AR94" s="75"/>
      <c r="AS94" s="75"/>
      <c r="AT94" s="75"/>
      <c r="AU94" s="75"/>
      <c r="AV94" s="76"/>
    </row>
    <row r="95" spans="1:48" x14ac:dyDescent="0.25">
      <c r="A95" s="74"/>
      <c r="B95" s="42"/>
      <c r="C95" s="42"/>
      <c r="D95" s="42"/>
      <c r="E95" s="42"/>
      <c r="F95" s="42"/>
      <c r="G95" s="42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5"/>
      <c r="AE95" s="75"/>
      <c r="AF95" s="75"/>
      <c r="AG95" s="75"/>
      <c r="AH95" s="75"/>
      <c r="AI95" s="75"/>
      <c r="AJ95" s="75"/>
      <c r="AK95" s="75"/>
      <c r="AL95" s="75"/>
      <c r="AM95" s="75"/>
      <c r="AN95" s="75"/>
      <c r="AO95" s="75"/>
      <c r="AP95" s="75"/>
      <c r="AQ95" s="75"/>
      <c r="AR95" s="75"/>
      <c r="AS95" s="75"/>
      <c r="AT95" s="75"/>
      <c r="AU95" s="75"/>
      <c r="AV95" s="76"/>
    </row>
    <row r="96" spans="1:48" s="4" customFormat="1" x14ac:dyDescent="0.25">
      <c r="A96" s="78" t="s">
        <v>63</v>
      </c>
      <c r="B96" s="79">
        <f t="shared" ref="B96:G96" si="17">SUM(B55:B60)</f>
        <v>0</v>
      </c>
      <c r="C96" s="79">
        <f t="shared" si="17"/>
        <v>0</v>
      </c>
      <c r="D96" s="79">
        <f t="shared" si="17"/>
        <v>1608.1261032</v>
      </c>
      <c r="E96" s="79">
        <f t="shared" si="17"/>
        <v>1080</v>
      </c>
      <c r="F96" s="79">
        <f t="shared" si="17"/>
        <v>1410</v>
      </c>
      <c r="G96" s="79">
        <f t="shared" si="17"/>
        <v>1600</v>
      </c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>
        <f>SUM(AV55:AV60)</f>
        <v>1000</v>
      </c>
    </row>
    <row r="97" spans="1:48" s="4" customFormat="1" x14ac:dyDescent="0.25">
      <c r="A97" s="80"/>
      <c r="B97" s="81"/>
      <c r="C97" s="81"/>
      <c r="D97" s="81"/>
      <c r="E97" s="81"/>
      <c r="F97" s="81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 t="e">
        <f>AV53-AV96</f>
        <v>#REF!</v>
      </c>
    </row>
    <row r="98" spans="1:48" s="4" customFormat="1" ht="15.75" x14ac:dyDescent="0.25">
      <c r="A98" s="82" t="s">
        <v>64</v>
      </c>
      <c r="B98" s="83">
        <f t="shared" ref="B98:G98" si="18">B53-B96</f>
        <v>0</v>
      </c>
      <c r="C98" s="83">
        <f t="shared" si="18"/>
        <v>0</v>
      </c>
      <c r="D98" s="83">
        <f t="shared" si="18"/>
        <v>-1608.1261032</v>
      </c>
      <c r="E98" s="83">
        <f t="shared" si="18"/>
        <v>103.23252249247071</v>
      </c>
      <c r="F98" s="83">
        <f t="shared" si="18"/>
        <v>-122.54577631122697</v>
      </c>
      <c r="G98" s="83">
        <f t="shared" si="18"/>
        <v>-286.52543194562736</v>
      </c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</row>
    <row r="99" spans="1:48" x14ac:dyDescent="0.25">
      <c r="A99" s="53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7"/>
    </row>
    <row r="100" spans="1:48" x14ac:dyDescent="0.25">
      <c r="A100" s="53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7"/>
    </row>
    <row r="101" spans="1:48" x14ac:dyDescent="0.25">
      <c r="A101" s="53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7"/>
    </row>
    <row r="102" spans="1:48" x14ac:dyDescent="0.25">
      <c r="A102" s="53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7"/>
    </row>
    <row r="103" spans="1:48" x14ac:dyDescent="0.25">
      <c r="A103" s="53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7"/>
    </row>
    <row r="104" spans="1:48" x14ac:dyDescent="0.25">
      <c r="A104" s="53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7"/>
    </row>
    <row r="105" spans="1:48" x14ac:dyDescent="0.25">
      <c r="A105" s="53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7"/>
    </row>
    <row r="106" spans="1:48" x14ac:dyDescent="0.25">
      <c r="A106" s="53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7"/>
    </row>
    <row r="107" spans="1:48" x14ac:dyDescent="0.25">
      <c r="A107" s="53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7"/>
    </row>
    <row r="108" spans="1:48" x14ac:dyDescent="0.25">
      <c r="A108" s="53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7"/>
    </row>
    <row r="109" spans="1:48" x14ac:dyDescent="0.25">
      <c r="A109" s="53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7"/>
    </row>
    <row r="110" spans="1:48" x14ac:dyDescent="0.25">
      <c r="A110" s="53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7"/>
    </row>
    <row r="111" spans="1:48" x14ac:dyDescent="0.25">
      <c r="A111" s="53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7"/>
    </row>
    <row r="112" spans="1:48" x14ac:dyDescent="0.25">
      <c r="A112" s="53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7"/>
    </row>
    <row r="113" spans="1:48" x14ac:dyDescent="0.25">
      <c r="A113" s="53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7"/>
    </row>
    <row r="114" spans="1:48" x14ac:dyDescent="0.25">
      <c r="A114" s="53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7"/>
    </row>
    <row r="115" spans="1:48" x14ac:dyDescent="0.25">
      <c r="A115" s="53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7"/>
    </row>
    <row r="116" spans="1:48" x14ac:dyDescent="0.25">
      <c r="A116" s="53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7"/>
    </row>
    <row r="117" spans="1:48" x14ac:dyDescent="0.25">
      <c r="A117" s="53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7"/>
    </row>
    <row r="118" spans="1:48" x14ac:dyDescent="0.25">
      <c r="A118" s="53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7"/>
    </row>
    <row r="119" spans="1:48" x14ac:dyDescent="0.25">
      <c r="A119" s="53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7"/>
    </row>
    <row r="120" spans="1:48" x14ac:dyDescent="0.25">
      <c r="A120" s="53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7"/>
    </row>
    <row r="121" spans="1:48" x14ac:dyDescent="0.25">
      <c r="A121" s="53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7"/>
    </row>
    <row r="122" spans="1:48" x14ac:dyDescent="0.25">
      <c r="A122" s="53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7"/>
    </row>
    <row r="123" spans="1:48" x14ac:dyDescent="0.25">
      <c r="A123" s="53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7"/>
    </row>
    <row r="124" spans="1:48" x14ac:dyDescent="0.25">
      <c r="A124" s="53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7"/>
    </row>
    <row r="125" spans="1:48" x14ac:dyDescent="0.25">
      <c r="A125" s="53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7"/>
    </row>
    <row r="126" spans="1:48" x14ac:dyDescent="0.25">
      <c r="A126" s="53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7"/>
    </row>
    <row r="127" spans="1:48" x14ac:dyDescent="0.25">
      <c r="A127" s="53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7"/>
    </row>
    <row r="128" spans="1:48" x14ac:dyDescent="0.25">
      <c r="A128" s="53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7"/>
    </row>
    <row r="129" spans="1:48" x14ac:dyDescent="0.25">
      <c r="A129" s="53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7"/>
    </row>
    <row r="130" spans="1:48" x14ac:dyDescent="0.25">
      <c r="A130" s="53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7"/>
    </row>
    <row r="131" spans="1:48" x14ac:dyDescent="0.25">
      <c r="A131" s="53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7"/>
    </row>
    <row r="132" spans="1:48" x14ac:dyDescent="0.25">
      <c r="A132" s="53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7"/>
    </row>
    <row r="133" spans="1:48" x14ac:dyDescent="0.25">
      <c r="A133" s="53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7"/>
    </row>
    <row r="134" spans="1:48" x14ac:dyDescent="0.25">
      <c r="A134" s="53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7"/>
    </row>
    <row r="135" spans="1:48" x14ac:dyDescent="0.25">
      <c r="A135" s="53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7"/>
    </row>
    <row r="136" spans="1:48" x14ac:dyDescent="0.25">
      <c r="A136" s="53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7"/>
    </row>
    <row r="137" spans="1:48" x14ac:dyDescent="0.25">
      <c r="A137" s="53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7"/>
    </row>
    <row r="138" spans="1:48" x14ac:dyDescent="0.25">
      <c r="A138" s="53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7"/>
    </row>
    <row r="139" spans="1:48" x14ac:dyDescent="0.25">
      <c r="A139" s="53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7"/>
    </row>
    <row r="140" spans="1:48" x14ac:dyDescent="0.25">
      <c r="A140" s="53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7"/>
    </row>
    <row r="141" spans="1:48" x14ac:dyDescent="0.25">
      <c r="A141" s="53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7"/>
    </row>
    <row r="142" spans="1:48" x14ac:dyDescent="0.25">
      <c r="A142" s="53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7"/>
    </row>
    <row r="143" spans="1:48" x14ac:dyDescent="0.25">
      <c r="A143" s="53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7"/>
    </row>
    <row r="144" spans="1:48" x14ac:dyDescent="0.25">
      <c r="A144" s="53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7"/>
    </row>
    <row r="145" spans="1:48" x14ac:dyDescent="0.25">
      <c r="A145" s="53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7"/>
    </row>
    <row r="146" spans="1:48" x14ac:dyDescent="0.25">
      <c r="A146" s="53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7"/>
    </row>
    <row r="147" spans="1:48" x14ac:dyDescent="0.25">
      <c r="A147" s="53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7"/>
    </row>
    <row r="148" spans="1:48" x14ac:dyDescent="0.25">
      <c r="A148" s="53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7"/>
    </row>
    <row r="149" spans="1:48" x14ac:dyDescent="0.25">
      <c r="A149" s="53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7"/>
    </row>
    <row r="150" spans="1:48" x14ac:dyDescent="0.25">
      <c r="A150" s="53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7"/>
    </row>
    <row r="151" spans="1:48" x14ac:dyDescent="0.25">
      <c r="A151" s="53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7"/>
    </row>
    <row r="152" spans="1:48" x14ac:dyDescent="0.25">
      <c r="A152" s="53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7"/>
    </row>
    <row r="153" spans="1:48" x14ac:dyDescent="0.25">
      <c r="A153" s="53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7"/>
    </row>
    <row r="154" spans="1:48" x14ac:dyDescent="0.25">
      <c r="A154" s="53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7"/>
    </row>
    <row r="155" spans="1:48" x14ac:dyDescent="0.25">
      <c r="A155" s="53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7"/>
    </row>
    <row r="156" spans="1:48" x14ac:dyDescent="0.25">
      <c r="A156" s="53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7"/>
    </row>
    <row r="157" spans="1:48" x14ac:dyDescent="0.25">
      <c r="A157" s="53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7"/>
    </row>
    <row r="158" spans="1:48" x14ac:dyDescent="0.25">
      <c r="A158" s="53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7"/>
    </row>
    <row r="159" spans="1:48" x14ac:dyDescent="0.25">
      <c r="A159" s="53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7"/>
    </row>
    <row r="160" spans="1:48" x14ac:dyDescent="0.25">
      <c r="A160" s="53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7"/>
    </row>
    <row r="161" spans="1:48" x14ac:dyDescent="0.25">
      <c r="A161" s="53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7"/>
    </row>
    <row r="162" spans="1:48" x14ac:dyDescent="0.25">
      <c r="A162" s="53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7"/>
    </row>
    <row r="163" spans="1:48" x14ac:dyDescent="0.25">
      <c r="A163" s="53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7"/>
    </row>
    <row r="164" spans="1:48" x14ac:dyDescent="0.25">
      <c r="A164" s="53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7"/>
    </row>
    <row r="165" spans="1:48" x14ac:dyDescent="0.25">
      <c r="A165" s="53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7"/>
    </row>
    <row r="166" spans="1:48" x14ac:dyDescent="0.25">
      <c r="A166" s="53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7"/>
    </row>
    <row r="167" spans="1:48" x14ac:dyDescent="0.25">
      <c r="A167" s="53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7"/>
    </row>
    <row r="168" spans="1:48" x14ac:dyDescent="0.25">
      <c r="A168" s="53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7"/>
    </row>
    <row r="169" spans="1:48" x14ac:dyDescent="0.25">
      <c r="A169" s="53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7"/>
    </row>
    <row r="170" spans="1:48" x14ac:dyDescent="0.25">
      <c r="A170" s="53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7"/>
    </row>
    <row r="171" spans="1:48" x14ac:dyDescent="0.25">
      <c r="A171" s="53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7"/>
    </row>
    <row r="172" spans="1:48" x14ac:dyDescent="0.25">
      <c r="A172" s="53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7"/>
    </row>
    <row r="173" spans="1:48" x14ac:dyDescent="0.25">
      <c r="A173" s="53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7"/>
    </row>
    <row r="174" spans="1:48" x14ac:dyDescent="0.25">
      <c r="A174" s="53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7"/>
    </row>
    <row r="175" spans="1:48" x14ac:dyDescent="0.25">
      <c r="A175" s="53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7"/>
    </row>
    <row r="176" spans="1:48" x14ac:dyDescent="0.25">
      <c r="A176" s="53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7"/>
    </row>
    <row r="177" spans="1:48" x14ac:dyDescent="0.25">
      <c r="A177" s="53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7"/>
    </row>
    <row r="178" spans="1:48" x14ac:dyDescent="0.25">
      <c r="A178" s="53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7"/>
    </row>
    <row r="179" spans="1:48" x14ac:dyDescent="0.25">
      <c r="A179" s="53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7"/>
    </row>
    <row r="180" spans="1:48" x14ac:dyDescent="0.25">
      <c r="A180" s="53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7"/>
    </row>
    <row r="181" spans="1:48" x14ac:dyDescent="0.25">
      <c r="A181" s="53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7"/>
    </row>
    <row r="182" spans="1:48" x14ac:dyDescent="0.25">
      <c r="A182" s="53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7"/>
    </row>
    <row r="183" spans="1:48" x14ac:dyDescent="0.25">
      <c r="A183" s="53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7"/>
    </row>
    <row r="184" spans="1:48" x14ac:dyDescent="0.25">
      <c r="A184" s="53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7"/>
    </row>
    <row r="185" spans="1:48" x14ac:dyDescent="0.25">
      <c r="A185" s="53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7"/>
    </row>
    <row r="186" spans="1:48" x14ac:dyDescent="0.25">
      <c r="A186" s="53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7"/>
    </row>
    <row r="187" spans="1:48" x14ac:dyDescent="0.25">
      <c r="A187" s="53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7"/>
    </row>
    <row r="188" spans="1:48" x14ac:dyDescent="0.25">
      <c r="A188" s="53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7"/>
    </row>
    <row r="189" spans="1:48" x14ac:dyDescent="0.25">
      <c r="A189" s="53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7"/>
    </row>
    <row r="190" spans="1:48" x14ac:dyDescent="0.25">
      <c r="A190" s="53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7"/>
    </row>
    <row r="191" spans="1:48" x14ac:dyDescent="0.25">
      <c r="A191" s="53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7"/>
    </row>
    <row r="192" spans="1:48" x14ac:dyDescent="0.25">
      <c r="A192" s="53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7"/>
    </row>
    <row r="193" spans="1:48" x14ac:dyDescent="0.25">
      <c r="A193" s="53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7"/>
    </row>
    <row r="194" spans="1:48" x14ac:dyDescent="0.25">
      <c r="A194" s="53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7"/>
    </row>
    <row r="195" spans="1:48" x14ac:dyDescent="0.25">
      <c r="A195" s="53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7"/>
    </row>
    <row r="196" spans="1:48" x14ac:dyDescent="0.25">
      <c r="A196" s="53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7"/>
    </row>
    <row r="197" spans="1:48" x14ac:dyDescent="0.25">
      <c r="A197" s="53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7"/>
    </row>
    <row r="198" spans="1:48" x14ac:dyDescent="0.25">
      <c r="A198" s="53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7"/>
    </row>
    <row r="199" spans="1:48" x14ac:dyDescent="0.25">
      <c r="A199" s="53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7"/>
    </row>
    <row r="200" spans="1:48" x14ac:dyDescent="0.25">
      <c r="A200" s="53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7"/>
    </row>
    <row r="201" spans="1:48" x14ac:dyDescent="0.25">
      <c r="A201" s="53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7"/>
    </row>
    <row r="202" spans="1:48" x14ac:dyDescent="0.25">
      <c r="A202" s="53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7"/>
    </row>
    <row r="203" spans="1:48" x14ac:dyDescent="0.25">
      <c r="A203" s="53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7"/>
    </row>
    <row r="204" spans="1:48" x14ac:dyDescent="0.25">
      <c r="A204" s="53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7"/>
    </row>
    <row r="205" spans="1:48" x14ac:dyDescent="0.25">
      <c r="A205" s="53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7"/>
    </row>
    <row r="206" spans="1:48" x14ac:dyDescent="0.25">
      <c r="A206" s="53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7"/>
    </row>
    <row r="207" spans="1:48" x14ac:dyDescent="0.25">
      <c r="A207" s="53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7"/>
    </row>
    <row r="208" spans="1:48" x14ac:dyDescent="0.25">
      <c r="A208" s="53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7"/>
    </row>
    <row r="209" spans="1:48" x14ac:dyDescent="0.25">
      <c r="A209" s="53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7"/>
    </row>
    <row r="210" spans="1:48" x14ac:dyDescent="0.25">
      <c r="A210" s="53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7"/>
    </row>
    <row r="211" spans="1:48" x14ac:dyDescent="0.25">
      <c r="A211" s="53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7"/>
    </row>
    <row r="212" spans="1:48" x14ac:dyDescent="0.25">
      <c r="A212" s="53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7"/>
    </row>
    <row r="213" spans="1:48" x14ac:dyDescent="0.25">
      <c r="A213" s="53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7"/>
    </row>
    <row r="214" spans="1:48" x14ac:dyDescent="0.25">
      <c r="A214" s="53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7"/>
    </row>
    <row r="215" spans="1:48" x14ac:dyDescent="0.25">
      <c r="A215" s="53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7"/>
    </row>
    <row r="216" spans="1:48" x14ac:dyDescent="0.25">
      <c r="A216" s="53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7"/>
    </row>
    <row r="217" spans="1:48" x14ac:dyDescent="0.25">
      <c r="A217" s="53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7"/>
    </row>
    <row r="218" spans="1:48" x14ac:dyDescent="0.25">
      <c r="A218" s="53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7"/>
    </row>
    <row r="219" spans="1:48" x14ac:dyDescent="0.25">
      <c r="A219" s="53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7"/>
    </row>
    <row r="220" spans="1:48" x14ac:dyDescent="0.25">
      <c r="A220" s="53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7"/>
    </row>
    <row r="221" spans="1:48" x14ac:dyDescent="0.25">
      <c r="A221" s="53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47"/>
    </row>
    <row r="222" spans="1:48" x14ac:dyDescent="0.25">
      <c r="A222" s="53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7"/>
    </row>
    <row r="223" spans="1:48" x14ac:dyDescent="0.25">
      <c r="A223" s="53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47"/>
    </row>
    <row r="224" spans="1:48" x14ac:dyDescent="0.25">
      <c r="A224" s="53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47"/>
    </row>
    <row r="225" spans="1:48" x14ac:dyDescent="0.25">
      <c r="A225" s="53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47"/>
    </row>
    <row r="226" spans="1:48" x14ac:dyDescent="0.25">
      <c r="A226" s="53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47"/>
    </row>
    <row r="227" spans="1:48" x14ac:dyDescent="0.25">
      <c r="A227" s="53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47"/>
    </row>
    <row r="228" spans="1:48" x14ac:dyDescent="0.25">
      <c r="A228" s="53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47"/>
    </row>
    <row r="229" spans="1:48" x14ac:dyDescent="0.25">
      <c r="A229" s="53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47"/>
    </row>
    <row r="230" spans="1:48" x14ac:dyDescent="0.25">
      <c r="A230" s="53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47"/>
    </row>
    <row r="231" spans="1:48" x14ac:dyDescent="0.25">
      <c r="A231" s="53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47"/>
    </row>
    <row r="232" spans="1:48" x14ac:dyDescent="0.25">
      <c r="A232" s="53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47"/>
    </row>
    <row r="233" spans="1:48" x14ac:dyDescent="0.25">
      <c r="A233" s="53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  <c r="AT233" s="46"/>
      <c r="AU233" s="46"/>
      <c r="AV233" s="47"/>
    </row>
    <row r="234" spans="1:48" x14ac:dyDescent="0.25">
      <c r="A234" s="53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46"/>
      <c r="AU234" s="46"/>
      <c r="AV234" s="47"/>
    </row>
    <row r="235" spans="1:48" x14ac:dyDescent="0.25">
      <c r="A235" s="53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47"/>
    </row>
    <row r="236" spans="1:48" x14ac:dyDescent="0.25">
      <c r="A236" s="53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47"/>
    </row>
    <row r="237" spans="1:48" x14ac:dyDescent="0.25">
      <c r="A237" s="53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47"/>
    </row>
    <row r="238" spans="1:48" x14ac:dyDescent="0.25">
      <c r="A238" s="53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47"/>
    </row>
    <row r="239" spans="1:48" x14ac:dyDescent="0.25">
      <c r="A239" s="53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47"/>
    </row>
    <row r="240" spans="1:48" x14ac:dyDescent="0.25">
      <c r="A240" s="53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47"/>
    </row>
    <row r="241" spans="1:48" x14ac:dyDescent="0.25">
      <c r="A241" s="53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7"/>
    </row>
    <row r="242" spans="1:48" x14ac:dyDescent="0.25">
      <c r="A242" s="53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47"/>
    </row>
    <row r="243" spans="1:48" x14ac:dyDescent="0.25">
      <c r="A243" s="53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47"/>
    </row>
    <row r="244" spans="1:48" x14ac:dyDescent="0.25">
      <c r="A244" s="53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7"/>
    </row>
    <row r="245" spans="1:48" x14ac:dyDescent="0.25">
      <c r="A245" s="53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47"/>
    </row>
    <row r="246" spans="1:48" x14ac:dyDescent="0.25">
      <c r="A246" s="53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7"/>
    </row>
    <row r="247" spans="1:48" x14ac:dyDescent="0.25">
      <c r="A247" s="53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7"/>
    </row>
    <row r="248" spans="1:48" x14ac:dyDescent="0.25">
      <c r="A248" s="53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7"/>
    </row>
    <row r="249" spans="1:48" x14ac:dyDescent="0.25">
      <c r="A249" s="53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47"/>
    </row>
    <row r="250" spans="1:48" x14ac:dyDescent="0.25">
      <c r="A250" s="53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7"/>
    </row>
    <row r="251" spans="1:48" x14ac:dyDescent="0.25">
      <c r="A251" s="53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7"/>
    </row>
    <row r="252" spans="1:48" x14ac:dyDescent="0.25">
      <c r="A252" s="53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7"/>
    </row>
    <row r="253" spans="1:48" x14ac:dyDescent="0.25">
      <c r="A253" s="53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7"/>
    </row>
    <row r="254" spans="1:48" x14ac:dyDescent="0.25">
      <c r="A254" s="53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7"/>
    </row>
    <row r="255" spans="1:48" x14ac:dyDescent="0.25">
      <c r="A255" s="53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7"/>
    </row>
    <row r="256" spans="1:48" x14ac:dyDescent="0.25">
      <c r="A256" s="53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7"/>
    </row>
    <row r="257" spans="1:48" x14ac:dyDescent="0.25">
      <c r="A257" s="53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7"/>
    </row>
    <row r="258" spans="1:48" x14ac:dyDescent="0.25">
      <c r="A258" s="53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7"/>
    </row>
    <row r="259" spans="1:48" x14ac:dyDescent="0.25">
      <c r="A259" s="53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7"/>
    </row>
    <row r="260" spans="1:48" x14ac:dyDescent="0.25">
      <c r="A260" s="53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47"/>
    </row>
    <row r="261" spans="1:48" x14ac:dyDescent="0.25">
      <c r="A261" s="53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7"/>
    </row>
    <row r="262" spans="1:48" x14ac:dyDescent="0.25">
      <c r="A262" s="53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47"/>
    </row>
    <row r="263" spans="1:48" x14ac:dyDescent="0.25">
      <c r="A263" s="53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47"/>
    </row>
    <row r="264" spans="1:48" x14ac:dyDescent="0.25">
      <c r="A264" s="53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47"/>
    </row>
    <row r="265" spans="1:48" x14ac:dyDescent="0.25">
      <c r="A265" s="53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7"/>
    </row>
    <row r="266" spans="1:48" x14ac:dyDescent="0.25">
      <c r="A266" s="53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47"/>
    </row>
    <row r="267" spans="1:48" x14ac:dyDescent="0.25">
      <c r="A267" s="53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47"/>
    </row>
    <row r="268" spans="1:48" x14ac:dyDescent="0.25">
      <c r="A268" s="53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7"/>
    </row>
    <row r="269" spans="1:48" x14ac:dyDescent="0.25">
      <c r="A269" s="53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47"/>
    </row>
    <row r="270" spans="1:48" x14ac:dyDescent="0.25">
      <c r="A270" s="53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47"/>
    </row>
    <row r="271" spans="1:48" x14ac:dyDescent="0.25">
      <c r="A271" s="53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47"/>
    </row>
    <row r="272" spans="1:48" x14ac:dyDescent="0.25">
      <c r="A272" s="53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6"/>
      <c r="AU272" s="46"/>
      <c r="AV272" s="47"/>
    </row>
    <row r="273" spans="1:48" x14ac:dyDescent="0.25">
      <c r="A273" s="53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47"/>
    </row>
    <row r="274" spans="1:48" x14ac:dyDescent="0.25">
      <c r="A274" s="53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47"/>
    </row>
    <row r="275" spans="1:48" x14ac:dyDescent="0.25">
      <c r="A275" s="53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6"/>
      <c r="AU275" s="46"/>
      <c r="AV275" s="47"/>
    </row>
    <row r="276" spans="1:48" x14ac:dyDescent="0.25">
      <c r="A276" s="53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47"/>
    </row>
    <row r="277" spans="1:48" x14ac:dyDescent="0.25">
      <c r="A277" s="53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47"/>
    </row>
    <row r="278" spans="1:48" x14ac:dyDescent="0.25">
      <c r="A278" s="53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46"/>
      <c r="AU278" s="46"/>
      <c r="AV278" s="47"/>
    </row>
    <row r="279" spans="1:48" x14ac:dyDescent="0.25">
      <c r="A279" s="53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46"/>
      <c r="AU279" s="46"/>
      <c r="AV279" s="47"/>
    </row>
    <row r="280" spans="1:48" x14ac:dyDescent="0.25">
      <c r="A280" s="53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47"/>
    </row>
    <row r="281" spans="1:48" x14ac:dyDescent="0.25">
      <c r="A281" s="53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47"/>
    </row>
    <row r="282" spans="1:48" x14ac:dyDescent="0.25">
      <c r="A282" s="53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47"/>
    </row>
    <row r="283" spans="1:48" x14ac:dyDescent="0.25">
      <c r="A283" s="53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47"/>
    </row>
    <row r="284" spans="1:48" x14ac:dyDescent="0.25">
      <c r="A284" s="53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6"/>
      <c r="AU284" s="46"/>
      <c r="AV284" s="47"/>
    </row>
    <row r="285" spans="1:48" x14ac:dyDescent="0.25">
      <c r="A285" s="53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47"/>
    </row>
    <row r="286" spans="1:48" x14ac:dyDescent="0.25">
      <c r="A286" s="53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7"/>
    </row>
    <row r="287" spans="1:48" x14ac:dyDescent="0.25">
      <c r="A287" s="53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7"/>
    </row>
    <row r="288" spans="1:48" x14ac:dyDescent="0.25">
      <c r="A288" s="53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47"/>
    </row>
    <row r="289" spans="1:48" x14ac:dyDescent="0.25">
      <c r="A289" s="53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  <c r="AT289" s="46"/>
      <c r="AU289" s="46"/>
      <c r="AV289" s="47"/>
    </row>
    <row r="290" spans="1:48" x14ac:dyDescent="0.25">
      <c r="A290" s="53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7"/>
    </row>
    <row r="291" spans="1:48" x14ac:dyDescent="0.25">
      <c r="A291" s="53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7"/>
    </row>
    <row r="292" spans="1:48" x14ac:dyDescent="0.25">
      <c r="A292" s="53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7"/>
    </row>
    <row r="293" spans="1:48" x14ac:dyDescent="0.25">
      <c r="A293" s="53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7"/>
    </row>
    <row r="294" spans="1:48" x14ac:dyDescent="0.25">
      <c r="A294" s="53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7"/>
    </row>
    <row r="295" spans="1:48" x14ac:dyDescent="0.25">
      <c r="A295" s="53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7"/>
    </row>
    <row r="296" spans="1:48" x14ac:dyDescent="0.25">
      <c r="A296" s="53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7"/>
    </row>
    <row r="297" spans="1:48" x14ac:dyDescent="0.25">
      <c r="A297" s="53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7"/>
    </row>
    <row r="298" spans="1:48" x14ac:dyDescent="0.25">
      <c r="A298" s="53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7"/>
    </row>
    <row r="299" spans="1:48" x14ac:dyDescent="0.25">
      <c r="A299" s="53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7"/>
    </row>
    <row r="300" spans="1:48" x14ac:dyDescent="0.25">
      <c r="A300" s="53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  <c r="AO300" s="46"/>
      <c r="AP300" s="46"/>
      <c r="AQ300" s="46"/>
      <c r="AR300" s="46"/>
      <c r="AS300" s="46"/>
      <c r="AT300" s="46"/>
      <c r="AU300" s="46"/>
      <c r="AV300" s="47"/>
    </row>
  </sheetData>
  <mergeCells count="1">
    <mergeCell ref="A1:A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4"/>
  <sheetViews>
    <sheetView showGridLines="0" zoomScale="90" zoomScaleNormal="90" workbookViewId="0">
      <pane xSplit="5" ySplit="7" topLeftCell="F8" activePane="bottomRight" state="frozen"/>
      <selection activeCell="K4" sqref="K4"/>
      <selection pane="topRight" activeCell="K4" sqref="K4"/>
      <selection pane="bottomLeft" activeCell="K4" sqref="K4"/>
      <selection pane="bottomRight"/>
    </sheetView>
  </sheetViews>
  <sheetFormatPr defaultColWidth="9.140625" defaultRowHeight="15" x14ac:dyDescent="0.25"/>
  <cols>
    <col min="1" max="1" width="3.85546875" style="85" customWidth="1"/>
    <col min="2" max="2" width="37" style="86" bestFit="1" customWidth="1"/>
    <col min="3" max="5" width="12.42578125" style="48" hidden="1" customWidth="1"/>
    <col min="6" max="6" width="12.42578125" style="87" hidden="1" customWidth="1"/>
    <col min="7" max="7" width="12.42578125" style="48" hidden="1" customWidth="1"/>
    <col min="8" max="8" width="12.42578125" style="88" hidden="1" customWidth="1"/>
    <col min="9" max="11" width="12.7109375" style="48" customWidth="1"/>
    <col min="12" max="12" width="12.7109375" style="90" customWidth="1"/>
    <col min="13" max="18" width="12.7109375" style="48" customWidth="1"/>
    <col min="19" max="19" width="9.140625" style="48"/>
    <col min="20" max="20" width="9.5703125" style="48" bestFit="1" customWidth="1"/>
    <col min="21" max="21" width="10.85546875" style="48" customWidth="1"/>
    <col min="22" max="22" width="12.85546875" style="48" customWidth="1"/>
    <col min="23" max="23" width="11.7109375" style="48" customWidth="1"/>
    <col min="24" max="24" width="11.42578125" style="48" customWidth="1"/>
    <col min="25" max="16384" width="9.140625" style="48"/>
  </cols>
  <sheetData>
    <row r="1" spans="1:23" x14ac:dyDescent="0.25">
      <c r="J1" s="89"/>
      <c r="K1" s="89"/>
      <c r="Q1" s="89"/>
    </row>
    <row r="2" spans="1:23" x14ac:dyDescent="0.25">
      <c r="B2" s="91" t="s">
        <v>65</v>
      </c>
      <c r="I2" s="89"/>
      <c r="J2" s="89"/>
      <c r="K2" s="89"/>
      <c r="L2" s="89"/>
      <c r="M2" s="89"/>
      <c r="N2" s="89"/>
      <c r="O2" s="89"/>
      <c r="Q2" s="89"/>
    </row>
    <row r="3" spans="1:23" x14ac:dyDescent="0.25">
      <c r="B3" s="91" t="s">
        <v>66</v>
      </c>
      <c r="I3" s="92"/>
      <c r="J3" s="92"/>
      <c r="K3" s="89"/>
      <c r="L3" s="92"/>
      <c r="M3" s="92"/>
      <c r="N3" s="93"/>
    </row>
    <row r="4" spans="1:23" x14ac:dyDescent="0.25">
      <c r="B4" s="91"/>
      <c r="I4" s="92"/>
      <c r="J4" s="89"/>
      <c r="K4" s="89"/>
      <c r="L4" s="92"/>
      <c r="M4" s="92"/>
      <c r="N4" s="93"/>
    </row>
    <row r="5" spans="1:23" x14ac:dyDescent="0.25">
      <c r="B5" s="48"/>
      <c r="C5" s="89">
        <f>ROUND(C42-C73,2)</f>
        <v>-0.01</v>
      </c>
      <c r="D5" s="89">
        <f>ROUND(D42-D73,2)</f>
        <v>0</v>
      </c>
      <c r="E5" s="89">
        <f>+E42-E73</f>
        <v>0</v>
      </c>
      <c r="F5" s="89">
        <f t="shared" ref="F5:R5" si="0">ROUND(F42-F73,2)</f>
        <v>0</v>
      </c>
      <c r="G5" s="89">
        <f t="shared" si="0"/>
        <v>0</v>
      </c>
      <c r="H5" s="94">
        <f t="shared" si="0"/>
        <v>0</v>
      </c>
      <c r="I5" s="89">
        <f t="shared" si="0"/>
        <v>0</v>
      </c>
      <c r="J5" s="89">
        <f t="shared" si="0"/>
        <v>0</v>
      </c>
      <c r="K5" s="89">
        <f t="shared" si="0"/>
        <v>0</v>
      </c>
      <c r="L5" s="95">
        <f t="shared" si="0"/>
        <v>0</v>
      </c>
      <c r="M5" s="89">
        <f t="shared" si="0"/>
        <v>0</v>
      </c>
      <c r="N5" s="89">
        <f t="shared" si="0"/>
        <v>0</v>
      </c>
      <c r="O5" s="89">
        <f t="shared" si="0"/>
        <v>0</v>
      </c>
      <c r="P5" s="89">
        <f t="shared" si="0"/>
        <v>0</v>
      </c>
      <c r="Q5" s="89">
        <f t="shared" si="0"/>
        <v>0</v>
      </c>
      <c r="R5" s="89">
        <f t="shared" si="0"/>
        <v>0</v>
      </c>
    </row>
    <row r="6" spans="1:23" x14ac:dyDescent="0.25">
      <c r="B6" s="91" t="s">
        <v>67</v>
      </c>
      <c r="D6" s="96"/>
      <c r="E6" s="96"/>
      <c r="G6" s="96"/>
      <c r="H6" s="97"/>
      <c r="I6" s="96"/>
      <c r="J6" s="96"/>
      <c r="K6" s="98"/>
      <c r="L6" s="99"/>
      <c r="M6" s="100"/>
      <c r="N6" s="100"/>
      <c r="Q6" s="100"/>
      <c r="R6" s="100" t="s">
        <v>68</v>
      </c>
    </row>
    <row r="7" spans="1:23" x14ac:dyDescent="0.25">
      <c r="A7" s="101" t="s">
        <v>69</v>
      </c>
      <c r="B7" s="102" t="s">
        <v>70</v>
      </c>
      <c r="C7" s="102" t="s">
        <v>71</v>
      </c>
      <c r="D7" s="102" t="s">
        <v>72</v>
      </c>
      <c r="E7" s="102" t="s">
        <v>73</v>
      </c>
      <c r="F7" s="103" t="s">
        <v>74</v>
      </c>
      <c r="G7" s="103" t="s">
        <v>75</v>
      </c>
      <c r="H7" s="104" t="s">
        <v>1</v>
      </c>
      <c r="I7" s="105" t="str">
        <f>Assumptions!B1</f>
        <v>2017-18</v>
      </c>
      <c r="J7" s="105" t="str">
        <f>Assumptions!C1</f>
        <v>2018-19</v>
      </c>
      <c r="K7" s="105" t="s">
        <v>3</v>
      </c>
      <c r="L7" s="105" t="str">
        <f>Assumptions!E1</f>
        <v>2020-21</v>
      </c>
      <c r="M7" s="105" t="str">
        <f>Assumptions!F1</f>
        <v>2021-22</v>
      </c>
      <c r="N7" s="105" t="str">
        <f>Assumptions!G1</f>
        <v>2022-23</v>
      </c>
      <c r="O7" s="105" t="str">
        <f>Assumptions!H1</f>
        <v>2023-24</v>
      </c>
      <c r="P7" s="105" t="str">
        <f>Assumptions!I1</f>
        <v>2024-25</v>
      </c>
      <c r="Q7" s="105" t="str">
        <f>Assumptions!J1</f>
        <v>2025-26</v>
      </c>
      <c r="R7" s="105" t="str">
        <f>Assumptions!K1</f>
        <v>2026-27</v>
      </c>
    </row>
    <row r="8" spans="1:23" x14ac:dyDescent="0.25">
      <c r="A8" s="101"/>
      <c r="B8" s="102"/>
      <c r="C8" s="102" t="s">
        <v>11</v>
      </c>
      <c r="D8" s="102" t="s">
        <v>11</v>
      </c>
      <c r="E8" s="102" t="s">
        <v>11</v>
      </c>
      <c r="F8" s="102" t="s">
        <v>11</v>
      </c>
      <c r="G8" s="102" t="s">
        <v>11</v>
      </c>
      <c r="H8" s="106">
        <v>43100</v>
      </c>
      <c r="I8" s="102" t="str">
        <f>Assumptions!B2</f>
        <v>Audited</v>
      </c>
      <c r="J8" s="102" t="str">
        <f>Assumptions!C2</f>
        <v>Audited</v>
      </c>
      <c r="K8" s="102" t="s">
        <v>11</v>
      </c>
      <c r="L8" s="101" t="str">
        <f>Assumptions!E2</f>
        <v>Projected</v>
      </c>
      <c r="M8" s="102" t="str">
        <f>Assumptions!F2</f>
        <v>Projected</v>
      </c>
      <c r="N8" s="102" t="str">
        <f>Assumptions!G2</f>
        <v>Projected</v>
      </c>
      <c r="O8" s="102" t="str">
        <f>Assumptions!H2</f>
        <v>Projected</v>
      </c>
      <c r="P8" s="102" t="str">
        <f>Assumptions!I2</f>
        <v>Projected</v>
      </c>
      <c r="Q8" s="102" t="str">
        <f>Assumptions!J2</f>
        <v>Projected</v>
      </c>
      <c r="R8" s="102" t="str">
        <f>Assumptions!K2</f>
        <v>Projected</v>
      </c>
    </row>
    <row r="9" spans="1:23" x14ac:dyDescent="0.25">
      <c r="A9" s="107" t="s">
        <v>76</v>
      </c>
      <c r="B9" s="107" t="s">
        <v>77</v>
      </c>
      <c r="C9" s="108"/>
      <c r="D9" s="108"/>
      <c r="E9" s="108"/>
      <c r="F9" s="109"/>
      <c r="G9" s="110"/>
      <c r="H9" s="110"/>
      <c r="I9" s="110"/>
      <c r="J9" s="110"/>
      <c r="K9" s="110"/>
      <c r="L9" s="111"/>
      <c r="M9" s="110"/>
      <c r="N9" s="110"/>
      <c r="O9" s="110"/>
      <c r="P9" s="110"/>
      <c r="Q9" s="110"/>
      <c r="R9" s="110"/>
    </row>
    <row r="10" spans="1:23" x14ac:dyDescent="0.25">
      <c r="A10" s="107" t="s">
        <v>78</v>
      </c>
      <c r="B10" s="112"/>
      <c r="C10" s="108"/>
      <c r="D10" s="108"/>
      <c r="E10" s="108"/>
      <c r="F10" s="109"/>
      <c r="G10" s="110"/>
      <c r="H10" s="110"/>
      <c r="I10" s="110"/>
      <c r="J10" s="110"/>
      <c r="K10" s="110"/>
      <c r="L10" s="111"/>
      <c r="M10" s="110"/>
      <c r="N10" s="110"/>
      <c r="O10" s="110"/>
      <c r="P10" s="110"/>
      <c r="Q10" s="110"/>
      <c r="R10" s="110"/>
    </row>
    <row r="11" spans="1:23" x14ac:dyDescent="0.25">
      <c r="A11" s="113">
        <v>1</v>
      </c>
      <c r="B11" s="114" t="s">
        <v>79</v>
      </c>
      <c r="C11" s="115">
        <f>(SUM(C12:C13))</f>
        <v>3.1945800000000002</v>
      </c>
      <c r="D11" s="115">
        <f>(SUM(D12:D13))</f>
        <v>3.2235500000000004</v>
      </c>
      <c r="E11" s="115">
        <f>SUM(E12:E13)</f>
        <v>3.2235500000000004</v>
      </c>
      <c r="F11" s="115">
        <f t="shared" ref="F11:R11" si="1">(SUM(F12:F13))</f>
        <v>3.2235500000000004</v>
      </c>
      <c r="G11" s="115">
        <f t="shared" si="1"/>
        <v>2.70709</v>
      </c>
      <c r="H11" s="115">
        <f t="shared" si="1"/>
        <v>3.5091899999999998</v>
      </c>
      <c r="I11" s="115">
        <f t="shared" si="1"/>
        <v>3.5091899999999998</v>
      </c>
      <c r="J11" s="115">
        <f t="shared" si="1"/>
        <v>4.6032257999999997</v>
      </c>
      <c r="K11" s="115">
        <f t="shared" si="1"/>
        <v>5.0389999999999997</v>
      </c>
      <c r="L11" s="116">
        <f t="shared" si="1"/>
        <v>5.0389999999999997</v>
      </c>
      <c r="M11" s="115">
        <f t="shared" si="1"/>
        <v>5.0389999999999997</v>
      </c>
      <c r="N11" s="115">
        <f t="shared" si="1"/>
        <v>5.0389999999999997</v>
      </c>
      <c r="O11" s="115">
        <f t="shared" si="1"/>
        <v>155.03899999999999</v>
      </c>
      <c r="P11" s="115">
        <f t="shared" si="1"/>
        <v>155.03899999999999</v>
      </c>
      <c r="Q11" s="115">
        <f t="shared" si="1"/>
        <v>155.03899999999999</v>
      </c>
      <c r="R11" s="115">
        <f t="shared" si="1"/>
        <v>155.03899999999999</v>
      </c>
    </row>
    <row r="12" spans="1:23" x14ac:dyDescent="0.25">
      <c r="A12" s="113" t="s">
        <v>80</v>
      </c>
      <c r="B12" s="114" t="s">
        <v>81</v>
      </c>
      <c r="C12" s="117">
        <v>1.99518</v>
      </c>
      <c r="D12" s="117">
        <v>2.0241500000000001</v>
      </c>
      <c r="E12" s="118">
        <v>2.0241500000000001</v>
      </c>
      <c r="F12" s="118">
        <v>2.0241500000000001</v>
      </c>
      <c r="G12" s="118">
        <v>2.70709</v>
      </c>
      <c r="H12" s="118">
        <v>3.5091899999999998</v>
      </c>
      <c r="I12" s="118">
        <v>3.5091899999999998</v>
      </c>
      <c r="J12" s="118">
        <v>4.6032257999999997</v>
      </c>
      <c r="K12" s="115">
        <v>5.0389999999999997</v>
      </c>
      <c r="L12" s="118">
        <f>K12+Assumptions!E25/(Assumptions!E26+100)*100</f>
        <v>5.0389999999999997</v>
      </c>
      <c r="M12" s="118">
        <f>L12+Assumptions!F25/(Assumptions!F26+100)*100</f>
        <v>5.0389999999999997</v>
      </c>
      <c r="N12" s="118">
        <f>M12+(Assumptions!G25/(Assumptions!G26+100)*100)</f>
        <v>5.0389999999999997</v>
      </c>
      <c r="O12" s="118">
        <f>N12+(Assumptions!H25/(Assumptions!H26+100)*100)</f>
        <v>155.03899999999999</v>
      </c>
      <c r="P12" s="118">
        <f>O12+(Assumptions!I25/(Assumptions!I26+100)*100)</f>
        <v>155.03899999999999</v>
      </c>
      <c r="Q12" s="118">
        <f>P12+(Assumptions!J25/(Assumptions!J26+100)*100)</f>
        <v>155.03899999999999</v>
      </c>
      <c r="R12" s="118">
        <f>Q12+(Assumptions!K25/(Assumptions!K26+100)*100)</f>
        <v>155.03899999999999</v>
      </c>
    </row>
    <row r="13" spans="1:23" x14ac:dyDescent="0.25">
      <c r="A13" s="113" t="s">
        <v>82</v>
      </c>
      <c r="B13" s="114" t="s">
        <v>83</v>
      </c>
      <c r="C13" s="117">
        <v>1.1994</v>
      </c>
      <c r="D13" s="117">
        <v>1.1994</v>
      </c>
      <c r="E13" s="118">
        <v>1.1994</v>
      </c>
      <c r="F13" s="118">
        <v>1.1994</v>
      </c>
      <c r="G13" s="118">
        <v>0</v>
      </c>
      <c r="H13" s="118"/>
      <c r="I13" s="118">
        <f>G13</f>
        <v>0</v>
      </c>
      <c r="J13" s="118">
        <v>0</v>
      </c>
      <c r="K13" s="118">
        <v>0</v>
      </c>
      <c r="L13" s="118">
        <v>0</v>
      </c>
      <c r="M13" s="118">
        <v>0</v>
      </c>
      <c r="N13" s="118">
        <v>0</v>
      </c>
      <c r="O13" s="118">
        <v>0</v>
      </c>
      <c r="P13" s="118">
        <v>0</v>
      </c>
      <c r="Q13" s="118">
        <v>0</v>
      </c>
      <c r="R13" s="118">
        <v>0</v>
      </c>
    </row>
    <row r="14" spans="1:23" x14ac:dyDescent="0.25">
      <c r="A14" s="113">
        <v>2</v>
      </c>
      <c r="B14" s="112" t="s">
        <v>84</v>
      </c>
      <c r="C14" s="115">
        <f>ROUND(SUM(C15:C18),2)</f>
        <v>41.75</v>
      </c>
      <c r="D14" s="115">
        <f>(SUM(D15:D18))</f>
        <v>49.717123775000005</v>
      </c>
      <c r="E14" s="115">
        <f>(SUM(E15:E18))</f>
        <v>58.738460500000002</v>
      </c>
      <c r="F14" s="115">
        <f>SUM(F15:F18)</f>
        <v>70.749227199999993</v>
      </c>
      <c r="G14" s="115">
        <f>ROUND(SUM(G15:G18),2)</f>
        <v>83.56</v>
      </c>
      <c r="H14" s="115">
        <f>ROUND(SUM(H15:H18),2)</f>
        <v>192.8</v>
      </c>
      <c r="I14" s="115">
        <f>ROUND(SUM(I15:I18),2)</f>
        <v>202.79</v>
      </c>
      <c r="J14" s="115">
        <f>SUM(J15:J18)</f>
        <v>550.58139604753717</v>
      </c>
      <c r="K14" s="115">
        <f>SUM(K15:K18)</f>
        <v>873.68849999999998</v>
      </c>
      <c r="L14" s="116">
        <f t="shared" ref="L14:R14" si="2">ROUND(SUM(L15:L18),2)</f>
        <v>963.66</v>
      </c>
      <c r="M14" s="115">
        <f t="shared" si="2"/>
        <v>1093.19</v>
      </c>
      <c r="N14" s="115">
        <f t="shared" si="2"/>
        <v>1258.4100000000001</v>
      </c>
      <c r="O14" s="115">
        <f t="shared" si="2"/>
        <v>1467.86</v>
      </c>
      <c r="P14" s="115">
        <f t="shared" si="2"/>
        <v>1730.18</v>
      </c>
      <c r="Q14" s="115">
        <f t="shared" si="2"/>
        <v>2041.19</v>
      </c>
      <c r="R14" s="115">
        <f t="shared" si="2"/>
        <v>2421.61</v>
      </c>
    </row>
    <row r="15" spans="1:23" x14ac:dyDescent="0.25">
      <c r="A15" s="113" t="s">
        <v>85</v>
      </c>
      <c r="B15" s="114" t="s">
        <v>86</v>
      </c>
      <c r="C15" s="117">
        <v>13.731393975</v>
      </c>
      <c r="D15" s="117">
        <f>C15+('P&amp;L'!D34-'BS '!D17+C17)</f>
        <v>20.130756675000001</v>
      </c>
      <c r="E15" s="118">
        <v>27.343087799999999</v>
      </c>
      <c r="F15" s="117">
        <v>36.951672199999997</v>
      </c>
      <c r="G15" s="117">
        <v>46.7903752</v>
      </c>
      <c r="H15" s="117">
        <v>54.818499555999992</v>
      </c>
      <c r="I15" s="117">
        <f>G15+('P&amp;L'!I34-'BS '!I17+G17)</f>
        <v>64.352160200000014</v>
      </c>
      <c r="J15" s="117">
        <v>106.13631812953717</v>
      </c>
      <c r="K15" s="117">
        <v>176.35636</v>
      </c>
      <c r="L15" s="119">
        <f>K15+('P&amp;L'!L34*80%)</f>
        <v>248.32956793023084</v>
      </c>
      <c r="M15" s="117">
        <f>L15+('P&amp;L'!M34-'BS '!M17+L17)</f>
        <v>351.95816019643269</v>
      </c>
      <c r="N15" s="117">
        <f>M15+('P&amp;L'!N34-'BS '!N17+M17)</f>
        <v>484.13730837224182</v>
      </c>
      <c r="O15" s="117">
        <f>N15+('P&amp;L'!O34-'BS '!O17+N17)</f>
        <v>651.6922093910739</v>
      </c>
      <c r="P15" s="117">
        <f>O15+('P&amp;L'!P34-'BS '!P17+O17)</f>
        <v>861.54609686815775</v>
      </c>
      <c r="Q15" s="117">
        <f>P15+('P&amp;L'!Q34-'BS '!Q17+P17)</f>
        <v>1110.356896703415</v>
      </c>
      <c r="R15" s="117">
        <f>Q15+('P&amp;L'!R34-'BS '!R17+Q17)</f>
        <v>1414.6929507998664</v>
      </c>
    </row>
    <row r="16" spans="1:23" x14ac:dyDescent="0.25">
      <c r="A16" s="113" t="s">
        <v>87</v>
      </c>
      <c r="B16" s="114" t="s">
        <v>88</v>
      </c>
      <c r="C16" s="117">
        <v>23.828720000000001</v>
      </c>
      <c r="D16" s="117">
        <v>24.5622404</v>
      </c>
      <c r="E16" s="118">
        <v>24.5622404</v>
      </c>
      <c r="F16" s="117">
        <v>24.5622404</v>
      </c>
      <c r="G16" s="117">
        <v>25.078700399999999</v>
      </c>
      <c r="H16" s="117">
        <v>124.27649285999999</v>
      </c>
      <c r="I16" s="117">
        <v>122.35398435999998</v>
      </c>
      <c r="J16" s="117">
        <v>417.91356551799998</v>
      </c>
      <c r="K16" s="117">
        <v>652.4778</v>
      </c>
      <c r="L16" s="119">
        <f>K16</f>
        <v>652.4778</v>
      </c>
      <c r="M16" s="117">
        <f>L16+(Assumptions!F25/(Assumptions!F26+100)*Assumptions!F26)</f>
        <v>652.4778</v>
      </c>
      <c r="N16" s="117">
        <f>M16+(Assumptions!G25/(Assumptions!G26+100)*Assumptions!G26)</f>
        <v>652.4778</v>
      </c>
      <c r="O16" s="117">
        <f>N16+(Assumptions!H25/(Assumptions!H26+100)*Assumptions!H26)</f>
        <v>652.4778</v>
      </c>
      <c r="P16" s="117">
        <f>O16+(Assumptions!I25/(Assumptions!I26+100)*Assumptions!I26)</f>
        <v>652.4778</v>
      </c>
      <c r="Q16" s="117">
        <f>P16+(Assumptions!J25/(Assumptions!J26+100)*Assumptions!J26)</f>
        <v>652.4778</v>
      </c>
      <c r="R16" s="117">
        <f>Q16+(Assumptions!K25/(Assumptions!K26+100)*Assumptions!K26)</f>
        <v>652.4778</v>
      </c>
      <c r="T16" s="96"/>
      <c r="U16" s="96"/>
      <c r="V16" s="96"/>
      <c r="W16" s="96"/>
    </row>
    <row r="17" spans="1:24" x14ac:dyDescent="0.25">
      <c r="A17" s="113" t="s">
        <v>89</v>
      </c>
      <c r="B17" s="114" t="s">
        <v>90</v>
      </c>
      <c r="C17" s="117">
        <v>3.4234893999999998</v>
      </c>
      <c r="D17" s="117">
        <v>5.0241267000000001</v>
      </c>
      <c r="E17" s="118">
        <v>6.8331322999999999</v>
      </c>
      <c r="F17" s="117">
        <v>9.2353146000000006</v>
      </c>
      <c r="G17" s="117">
        <v>11.6950266</v>
      </c>
      <c r="H17" s="117">
        <v>13.702057699999999</v>
      </c>
      <c r="I17" s="117">
        <v>16.085472899999999</v>
      </c>
      <c r="J17" s="117">
        <v>26.5315124</v>
      </c>
      <c r="K17" s="117">
        <v>44.854340000000001</v>
      </c>
      <c r="L17" s="119">
        <f>K17+('P&amp;L'!L34*0.2)</f>
        <v>62.847641982557718</v>
      </c>
      <c r="M17" s="117">
        <f>L17+('P&amp;L'!M34*0.2)</f>
        <v>88.75479004910818</v>
      </c>
      <c r="N17" s="117">
        <f>M17+('P&amp;L'!N34*0.2)</f>
        <v>121.79957709306046</v>
      </c>
      <c r="O17" s="117">
        <f>N17+('P&amp;L'!O34*0.2)</f>
        <v>163.68830234776848</v>
      </c>
      <c r="P17" s="117">
        <f>O17+('P&amp;L'!P34*0.2)</f>
        <v>216.15177421703945</v>
      </c>
      <c r="Q17" s="117">
        <f>P17+('P&amp;L'!Q34*0.2)</f>
        <v>278.35447417585374</v>
      </c>
      <c r="R17" s="117">
        <f>Q17+('P&amp;L'!R34*0.2)</f>
        <v>354.43848769996657</v>
      </c>
      <c r="U17" s="96"/>
    </row>
    <row r="18" spans="1:24" x14ac:dyDescent="0.25">
      <c r="A18" s="113" t="s">
        <v>91</v>
      </c>
      <c r="B18" s="114" t="s">
        <v>92</v>
      </c>
      <c r="C18" s="117">
        <v>0.76249999999999996</v>
      </c>
      <c r="D18" s="117">
        <v>0</v>
      </c>
      <c r="E18" s="117">
        <v>0</v>
      </c>
      <c r="F18" s="117">
        <v>0</v>
      </c>
      <c r="G18" s="117">
        <v>0</v>
      </c>
      <c r="H18" s="117"/>
      <c r="I18" s="117">
        <v>0</v>
      </c>
      <c r="J18" s="117">
        <v>0</v>
      </c>
      <c r="K18" s="117"/>
      <c r="L18" s="119">
        <v>0</v>
      </c>
      <c r="M18" s="117">
        <v>0</v>
      </c>
      <c r="N18" s="117">
        <v>0</v>
      </c>
      <c r="O18" s="117">
        <v>0</v>
      </c>
      <c r="P18" s="117">
        <v>0</v>
      </c>
      <c r="Q18" s="117">
        <v>0</v>
      </c>
      <c r="R18" s="117">
        <v>0</v>
      </c>
    </row>
    <row r="19" spans="1:24" x14ac:dyDescent="0.25">
      <c r="A19" s="113"/>
      <c r="B19" s="112" t="s">
        <v>93</v>
      </c>
      <c r="C19" s="115">
        <f t="shared" ref="C19:R19" si="3">C14+C11</f>
        <v>44.944580000000002</v>
      </c>
      <c r="D19" s="115">
        <f t="shared" si="3"/>
        <v>52.940673775000008</v>
      </c>
      <c r="E19" s="115">
        <f t="shared" si="3"/>
        <v>61.962010500000005</v>
      </c>
      <c r="F19" s="115">
        <f t="shared" si="3"/>
        <v>73.972777199999996</v>
      </c>
      <c r="G19" s="115">
        <f t="shared" si="3"/>
        <v>86.267089999999996</v>
      </c>
      <c r="H19" s="115">
        <f t="shared" si="3"/>
        <v>196.30919</v>
      </c>
      <c r="I19" s="115">
        <f t="shared" si="3"/>
        <v>206.29918999999998</v>
      </c>
      <c r="J19" s="115">
        <f t="shared" si="3"/>
        <v>555.18462184753719</v>
      </c>
      <c r="K19" s="115">
        <f t="shared" si="3"/>
        <v>878.72749999999996</v>
      </c>
      <c r="L19" s="116">
        <f t="shared" si="3"/>
        <v>968.69899999999996</v>
      </c>
      <c r="M19" s="115">
        <f t="shared" si="3"/>
        <v>1098.229</v>
      </c>
      <c r="N19" s="115">
        <f t="shared" si="3"/>
        <v>1263.4490000000001</v>
      </c>
      <c r="O19" s="115">
        <f t="shared" si="3"/>
        <v>1622.8989999999999</v>
      </c>
      <c r="P19" s="115">
        <f t="shared" si="3"/>
        <v>1885.2190000000001</v>
      </c>
      <c r="Q19" s="115">
        <f t="shared" si="3"/>
        <v>2196.2290000000003</v>
      </c>
      <c r="R19" s="115">
        <f t="shared" si="3"/>
        <v>2576.6490000000003</v>
      </c>
      <c r="S19" s="89"/>
      <c r="T19" s="89"/>
      <c r="U19" s="89"/>
      <c r="V19" s="89"/>
      <c r="W19" s="89"/>
      <c r="X19" s="89"/>
    </row>
    <row r="20" spans="1:24" x14ac:dyDescent="0.25">
      <c r="A20" s="107" t="s">
        <v>94</v>
      </c>
      <c r="B20" s="112" t="s">
        <v>95</v>
      </c>
      <c r="C20" s="115"/>
      <c r="D20" s="118"/>
      <c r="E20" s="118"/>
      <c r="F20" s="118"/>
      <c r="G20" s="118"/>
      <c r="H20" s="118"/>
      <c r="I20" s="118"/>
      <c r="J20" s="118"/>
      <c r="K20" s="118"/>
      <c r="L20" s="120"/>
      <c r="M20" s="118"/>
      <c r="N20" s="118"/>
      <c r="O20" s="118"/>
      <c r="P20" s="118"/>
      <c r="Q20" s="118"/>
      <c r="R20" s="118"/>
      <c r="T20" s="96"/>
      <c r="U20" s="96"/>
    </row>
    <row r="21" spans="1:24" x14ac:dyDescent="0.25">
      <c r="A21" s="113">
        <v>3</v>
      </c>
      <c r="B21" s="114" t="s">
        <v>96</v>
      </c>
      <c r="C21" s="117">
        <v>16.5</v>
      </c>
      <c r="D21" s="117">
        <v>16.5</v>
      </c>
      <c r="E21" s="118">
        <v>16.5</v>
      </c>
      <c r="F21" s="118">
        <v>36.5</v>
      </c>
      <c r="G21" s="118">
        <v>40</v>
      </c>
      <c r="H21" s="118">
        <v>40</v>
      </c>
      <c r="I21" s="118">
        <v>40</v>
      </c>
      <c r="J21" s="118">
        <v>40</v>
      </c>
      <c r="K21" s="118">
        <v>40</v>
      </c>
      <c r="L21" s="120">
        <v>40</v>
      </c>
      <c r="M21" s="120">
        <v>20</v>
      </c>
      <c r="N21" s="120">
        <v>0</v>
      </c>
      <c r="O21" s="120">
        <v>0</v>
      </c>
      <c r="P21" s="120">
        <v>0</v>
      </c>
      <c r="Q21" s="120">
        <v>0</v>
      </c>
      <c r="R21" s="120">
        <v>0</v>
      </c>
    </row>
    <row r="22" spans="1:24" x14ac:dyDescent="0.25">
      <c r="A22" s="113">
        <v>4</v>
      </c>
      <c r="B22" s="114" t="s">
        <v>97</v>
      </c>
      <c r="C22" s="117">
        <v>0</v>
      </c>
      <c r="D22" s="118">
        <v>0</v>
      </c>
      <c r="E22" s="118">
        <v>0</v>
      </c>
      <c r="F22" s="118">
        <v>50</v>
      </c>
      <c r="G22" s="118">
        <v>44.589999999999996</v>
      </c>
      <c r="H22" s="118">
        <v>76.9375</v>
      </c>
      <c r="I22" s="118">
        <v>45</v>
      </c>
      <c r="J22" s="118">
        <v>45</v>
      </c>
      <c r="K22" s="118">
        <v>45</v>
      </c>
      <c r="L22" s="120">
        <v>20</v>
      </c>
      <c r="M22" s="120">
        <v>20</v>
      </c>
      <c r="N22" s="120">
        <v>0</v>
      </c>
      <c r="O22" s="120">
        <v>0</v>
      </c>
      <c r="P22" s="120">
        <v>0</v>
      </c>
      <c r="Q22" s="120">
        <v>0</v>
      </c>
      <c r="R22" s="120">
        <v>0</v>
      </c>
      <c r="S22" s="89"/>
      <c r="T22" s="89"/>
      <c r="U22" s="89"/>
      <c r="V22" s="89"/>
      <c r="W22" s="89"/>
    </row>
    <row r="23" spans="1:24" x14ac:dyDescent="0.25">
      <c r="A23" s="113">
        <v>5</v>
      </c>
      <c r="B23" s="114" t="s">
        <v>98</v>
      </c>
      <c r="C23" s="117">
        <v>20.4773195</v>
      </c>
      <c r="D23" s="117">
        <v>131.61432429999999</v>
      </c>
      <c r="E23" s="118">
        <v>132.70853320000001</v>
      </c>
      <c r="F23" s="118">
        <v>139.64692120000001</v>
      </c>
      <c r="G23" s="118">
        <v>217.38131229999999</v>
      </c>
      <c r="H23" s="118">
        <v>397.53845402299993</v>
      </c>
      <c r="I23" s="118">
        <v>343.151583996</v>
      </c>
      <c r="J23" s="118">
        <v>717.61793302799992</v>
      </c>
      <c r="K23" s="118">
        <f>1242.72714950691+200+78.75+50+27.5</f>
        <v>1598.9771495069101</v>
      </c>
      <c r="L23" s="120">
        <v>1504.0073972796242</v>
      </c>
      <c r="M23" s="120">
        <v>1889.8901795033214</v>
      </c>
      <c r="N23" s="120">
        <v>2062.8243068348775</v>
      </c>
      <c r="O23" s="120">
        <v>2181.6034735015442</v>
      </c>
      <c r="P23" s="120">
        <v>2083.2701401682107</v>
      </c>
      <c r="Q23" s="120">
        <v>2795.4923623904328</v>
      </c>
      <c r="R23" s="120">
        <v>3368.8256957237659</v>
      </c>
      <c r="T23" s="96"/>
      <c r="U23" s="96"/>
    </row>
    <row r="24" spans="1:24" x14ac:dyDescent="0.25">
      <c r="A24" s="113">
        <v>6</v>
      </c>
      <c r="B24" s="114" t="s">
        <v>99</v>
      </c>
      <c r="C24" s="117">
        <v>0.54966190000000004</v>
      </c>
      <c r="D24" s="117">
        <v>0.4622791</v>
      </c>
      <c r="E24" s="118">
        <v>0.45843200000000001</v>
      </c>
      <c r="F24" s="118">
        <v>0.69284679999999998</v>
      </c>
      <c r="G24" s="118">
        <v>1.1702988000000001</v>
      </c>
      <c r="H24" s="118">
        <v>2.1498699999999999</v>
      </c>
      <c r="I24" s="118">
        <v>2.4454213</v>
      </c>
      <c r="J24" s="118">
        <v>3.6942156244000004</v>
      </c>
      <c r="K24" s="118">
        <v>48.8108</v>
      </c>
      <c r="L24" s="118">
        <v>52.902238948146817</v>
      </c>
      <c r="M24" s="118">
        <v>69.685081227038381</v>
      </c>
      <c r="N24" s="118">
        <v>78.560047313860665</v>
      </c>
      <c r="O24" s="118">
        <v>91.416037764633529</v>
      </c>
      <c r="P24" s="118">
        <v>98.046946895944501</v>
      </c>
      <c r="Q24" s="118">
        <v>107.4328079315836</v>
      </c>
      <c r="R24" s="118">
        <v>119.29551478761728</v>
      </c>
      <c r="S24" s="89"/>
      <c r="T24" s="96"/>
      <c r="U24" s="96"/>
      <c r="V24" s="96"/>
      <c r="W24" s="89"/>
    </row>
    <row r="25" spans="1:24" x14ac:dyDescent="0.25">
      <c r="A25" s="113"/>
      <c r="B25" s="114" t="s">
        <v>100</v>
      </c>
      <c r="C25" s="117"/>
      <c r="D25" s="117"/>
      <c r="E25" s="118"/>
      <c r="F25" s="118"/>
      <c r="G25" s="118"/>
      <c r="H25" s="118"/>
      <c r="I25" s="118"/>
      <c r="J25" s="118">
        <v>1.5461110869000001</v>
      </c>
      <c r="K25" s="118">
        <v>43.674700000000001</v>
      </c>
      <c r="L25" s="118">
        <v>73.004949564246189</v>
      </c>
      <c r="M25" s="118">
        <v>81.335355544699382</v>
      </c>
      <c r="N25" s="118">
        <v>91.083312895864026</v>
      </c>
      <c r="O25" s="118">
        <v>103.31384293270754</v>
      </c>
      <c r="P25" s="118">
        <v>111.78125739789265</v>
      </c>
      <c r="Q25" s="118">
        <v>122.40763608011241</v>
      </c>
      <c r="R25" s="118">
        <v>135.43131351529357</v>
      </c>
      <c r="T25" s="96"/>
      <c r="U25" s="96"/>
      <c r="V25" s="96"/>
    </row>
    <row r="26" spans="1:24" x14ac:dyDescent="0.25">
      <c r="A26" s="113">
        <v>7</v>
      </c>
      <c r="B26" s="114" t="s">
        <v>101</v>
      </c>
      <c r="C26" s="117">
        <v>0.29541859999999998</v>
      </c>
      <c r="D26" s="117">
        <v>0.69978560000000001</v>
      </c>
      <c r="E26" s="118">
        <v>0.8313393</v>
      </c>
      <c r="F26" s="118">
        <v>1.2951595</v>
      </c>
      <c r="G26" s="118">
        <v>1.8620947999999997</v>
      </c>
      <c r="H26" s="118">
        <v>2.1310815000000001</v>
      </c>
      <c r="I26" s="118">
        <v>3.1273995999999999</v>
      </c>
      <c r="J26" s="118">
        <v>5.0076780000000003</v>
      </c>
      <c r="K26" s="118">
        <v>6.0611596999999993</v>
      </c>
      <c r="L26" s="120">
        <f>K26*1.1</f>
        <v>6.6672756699999995</v>
      </c>
      <c r="M26" s="120">
        <f t="shared" ref="M26:R27" si="4">L26*1.1</f>
        <v>7.3340032370000001</v>
      </c>
      <c r="N26" s="120">
        <f t="shared" si="4"/>
        <v>8.0674035607000008</v>
      </c>
      <c r="O26" s="120">
        <f t="shared" si="4"/>
        <v>8.8741439167700022</v>
      </c>
      <c r="P26" s="120">
        <f t="shared" si="4"/>
        <v>9.7615583084470039</v>
      </c>
      <c r="Q26" s="120">
        <f t="shared" si="4"/>
        <v>10.737714139291706</v>
      </c>
      <c r="R26" s="120">
        <f t="shared" si="4"/>
        <v>11.811485553220876</v>
      </c>
      <c r="S26" s="89"/>
      <c r="T26" s="96"/>
      <c r="U26" s="96"/>
      <c r="V26" s="96"/>
      <c r="W26" s="89"/>
    </row>
    <row r="27" spans="1:24" x14ac:dyDescent="0.25">
      <c r="A27" s="113">
        <v>8</v>
      </c>
      <c r="B27" s="114" t="s">
        <v>102</v>
      </c>
      <c r="C27" s="117">
        <v>0</v>
      </c>
      <c r="D27" s="117">
        <v>0.76750300000000005</v>
      </c>
      <c r="E27" s="118">
        <v>0.97140649999999995</v>
      </c>
      <c r="F27" s="118">
        <v>0.50513770000000002</v>
      </c>
      <c r="G27" s="118">
        <v>6.1389357000000002</v>
      </c>
      <c r="H27" s="118">
        <v>8.3835353999999995</v>
      </c>
      <c r="I27" s="118">
        <v>11.5328821</v>
      </c>
      <c r="J27" s="118">
        <v>31.404576299999999</v>
      </c>
      <c r="K27" s="118">
        <v>24.462542411629148</v>
      </c>
      <c r="L27" s="120">
        <f>K27*1.1</f>
        <v>26.908796652792066</v>
      </c>
      <c r="M27" s="118">
        <f t="shared" si="4"/>
        <v>29.599676318071275</v>
      </c>
      <c r="N27" s="118">
        <f t="shared" si="4"/>
        <v>32.559643949878406</v>
      </c>
      <c r="O27" s="118">
        <f t="shared" si="4"/>
        <v>35.815608344866249</v>
      </c>
      <c r="P27" s="118">
        <f t="shared" si="4"/>
        <v>39.397169179352879</v>
      </c>
      <c r="Q27" s="118">
        <f t="shared" si="4"/>
        <v>43.336886097288172</v>
      </c>
      <c r="R27" s="118">
        <f t="shared" si="4"/>
        <v>47.670574707016996</v>
      </c>
      <c r="T27" s="96"/>
      <c r="U27" s="96"/>
      <c r="V27" s="96"/>
    </row>
    <row r="28" spans="1:24" x14ac:dyDescent="0.25">
      <c r="A28" s="113"/>
      <c r="B28" s="112" t="s">
        <v>103</v>
      </c>
      <c r="C28" s="115">
        <f t="shared" ref="C28:Q28" si="5">SUM(C21:C27)</f>
        <v>37.822399999999995</v>
      </c>
      <c r="D28" s="115">
        <f t="shared" si="5"/>
        <v>150.043892</v>
      </c>
      <c r="E28" s="115">
        <f t="shared" si="5"/>
        <v>151.46971099999999</v>
      </c>
      <c r="F28" s="115">
        <f t="shared" si="5"/>
        <v>228.64006520000004</v>
      </c>
      <c r="G28" s="115">
        <f t="shared" si="5"/>
        <v>311.14264160000005</v>
      </c>
      <c r="H28" s="115">
        <f t="shared" si="5"/>
        <v>527.14044092300003</v>
      </c>
      <c r="I28" s="115">
        <f t="shared" si="5"/>
        <v>445.257286996</v>
      </c>
      <c r="J28" s="115">
        <f t="shared" si="5"/>
        <v>844.27051403930011</v>
      </c>
      <c r="K28" s="115">
        <f t="shared" si="5"/>
        <v>1806.9863516185392</v>
      </c>
      <c r="L28" s="116">
        <f t="shared" si="5"/>
        <v>1723.4906581148091</v>
      </c>
      <c r="M28" s="115">
        <f t="shared" si="5"/>
        <v>2117.8442958301307</v>
      </c>
      <c r="N28" s="115">
        <f t="shared" si="5"/>
        <v>2273.0947145551804</v>
      </c>
      <c r="O28" s="115">
        <f t="shared" si="5"/>
        <v>2421.0231064605218</v>
      </c>
      <c r="P28" s="115">
        <f t="shared" si="5"/>
        <v>2342.2570719498476</v>
      </c>
      <c r="Q28" s="115">
        <f t="shared" si="5"/>
        <v>3079.4074066387088</v>
      </c>
      <c r="R28" s="115">
        <f t="shared" ref="R28" si="6">SUM(R21:R27)</f>
        <v>3683.0345842869142</v>
      </c>
      <c r="T28" s="96"/>
      <c r="U28" s="96"/>
      <c r="V28" s="96"/>
    </row>
    <row r="29" spans="1:24" x14ac:dyDescent="0.25">
      <c r="A29" s="113">
        <v>9</v>
      </c>
      <c r="B29" s="114" t="s">
        <v>104</v>
      </c>
      <c r="C29" s="117">
        <v>11.185074999999999</v>
      </c>
      <c r="D29" s="117">
        <v>71.634338299999996</v>
      </c>
      <c r="E29" s="118">
        <v>131.1789929</v>
      </c>
      <c r="F29" s="118">
        <v>121.9085491</v>
      </c>
      <c r="G29" s="118">
        <f>266.67-G30</f>
        <v>250.17000000000002</v>
      </c>
      <c r="H29" s="118">
        <v>192.2156335</v>
      </c>
      <c r="I29" s="118">
        <v>384.25001283199998</v>
      </c>
      <c r="J29" s="118">
        <v>431.50367030000001</v>
      </c>
      <c r="K29" s="118">
        <f>1167.97166186109-200-78.75-50-27.5</f>
        <v>811.72166186109007</v>
      </c>
      <c r="L29" s="120">
        <v>845.58871268797634</v>
      </c>
      <c r="M29" s="120">
        <v>834.11721777630305</v>
      </c>
      <c r="N29" s="120">
        <v>1197.0658726684444</v>
      </c>
      <c r="O29" s="120">
        <v>1731.2208333333333</v>
      </c>
      <c r="P29" s="120">
        <v>2048.333333333333</v>
      </c>
      <c r="Q29" s="120">
        <v>2087.7777777777778</v>
      </c>
      <c r="R29" s="120">
        <v>2426.6666666666665</v>
      </c>
      <c r="T29" s="96"/>
      <c r="U29" s="96"/>
      <c r="V29" s="96"/>
    </row>
    <row r="30" spans="1:24" x14ac:dyDescent="0.25">
      <c r="A30" s="113"/>
      <c r="B30" s="114" t="s">
        <v>96</v>
      </c>
      <c r="C30" s="118">
        <v>0</v>
      </c>
      <c r="D30" s="118">
        <v>0</v>
      </c>
      <c r="E30" s="118">
        <v>0</v>
      </c>
      <c r="F30" s="118">
        <v>0</v>
      </c>
      <c r="G30" s="118">
        <v>16.5</v>
      </c>
      <c r="H30" s="118"/>
      <c r="I30" s="118">
        <v>0</v>
      </c>
      <c r="J30" s="118">
        <v>0</v>
      </c>
      <c r="K30" s="118"/>
      <c r="L30" s="120">
        <v>0</v>
      </c>
      <c r="M30" s="118">
        <v>0</v>
      </c>
      <c r="N30" s="118">
        <v>0</v>
      </c>
      <c r="O30" s="118">
        <v>0</v>
      </c>
      <c r="P30" s="118">
        <v>0</v>
      </c>
      <c r="Q30" s="118">
        <v>0</v>
      </c>
      <c r="R30" s="118">
        <v>0</v>
      </c>
      <c r="T30" s="96"/>
      <c r="U30" s="96"/>
      <c r="V30" s="96"/>
    </row>
    <row r="31" spans="1:24" x14ac:dyDescent="0.25">
      <c r="A31" s="113">
        <v>10</v>
      </c>
      <c r="B31" s="114" t="s">
        <v>105</v>
      </c>
      <c r="C31" s="117">
        <v>51.2606228</v>
      </c>
      <c r="D31" s="117">
        <v>14.208404146000001</v>
      </c>
      <c r="E31" s="118">
        <v>16.503924900000001</v>
      </c>
      <c r="F31" s="118">
        <v>73.308272900000006</v>
      </c>
      <c r="G31" s="118">
        <v>45.971703900000001</v>
      </c>
      <c r="H31" s="118">
        <v>139.0768376</v>
      </c>
      <c r="I31" s="118">
        <v>85.230726399999995</v>
      </c>
      <c r="J31" s="118">
        <v>65.046728799999997</v>
      </c>
      <c r="K31" s="118">
        <v>66.081388631999999</v>
      </c>
      <c r="L31" s="120">
        <v>122.85</v>
      </c>
      <c r="M31" s="120">
        <v>122.85</v>
      </c>
      <c r="N31" s="120">
        <v>122.85</v>
      </c>
      <c r="O31" s="120">
        <v>122.85</v>
      </c>
      <c r="P31" s="120">
        <v>122.85</v>
      </c>
      <c r="Q31" s="120">
        <v>122.85</v>
      </c>
      <c r="R31" s="120">
        <v>122.85</v>
      </c>
      <c r="T31" s="96"/>
      <c r="U31" s="96"/>
      <c r="V31" s="96"/>
    </row>
    <row r="32" spans="1:24" x14ac:dyDescent="0.25">
      <c r="A32" s="113">
        <f>A31+1</f>
        <v>11</v>
      </c>
      <c r="B32" s="114" t="s">
        <v>106</v>
      </c>
      <c r="C32" s="117"/>
      <c r="D32" s="117"/>
      <c r="E32" s="118"/>
      <c r="F32" s="118"/>
      <c r="G32" s="118"/>
      <c r="H32" s="118"/>
      <c r="I32" s="118">
        <v>0</v>
      </c>
      <c r="J32" s="118">
        <v>0</v>
      </c>
      <c r="K32" s="118"/>
      <c r="L32" s="120"/>
      <c r="M32" s="118"/>
      <c r="N32" s="118"/>
      <c r="O32" s="118"/>
      <c r="P32" s="118"/>
      <c r="Q32" s="118"/>
      <c r="R32" s="118"/>
      <c r="T32" s="96"/>
      <c r="U32" s="96"/>
      <c r="V32" s="96"/>
    </row>
    <row r="33" spans="1:22" x14ac:dyDescent="0.25">
      <c r="A33" s="113">
        <v>12</v>
      </c>
      <c r="B33" s="114" t="s">
        <v>107</v>
      </c>
      <c r="C33" s="117">
        <v>40.044053499999997</v>
      </c>
      <c r="D33" s="117">
        <v>1.3321822000000001</v>
      </c>
      <c r="E33" s="118">
        <v>1.1777945999999999</v>
      </c>
      <c r="F33" s="118">
        <v>1.5063084</v>
      </c>
      <c r="G33" s="118">
        <v>2.1097090000000001</v>
      </c>
      <c r="H33" s="118">
        <v>2.8054771000000001</v>
      </c>
      <c r="I33" s="118">
        <v>5.9202471000000001</v>
      </c>
      <c r="J33" s="118">
        <v>8.0400488830663885</v>
      </c>
      <c r="K33" s="118"/>
      <c r="L33" s="120">
        <f>K33*1.05</f>
        <v>0</v>
      </c>
      <c r="M33" s="118">
        <f>L33*1.05</f>
        <v>0</v>
      </c>
      <c r="N33" s="118">
        <f>M33*1.05</f>
        <v>0</v>
      </c>
      <c r="O33" s="118">
        <f t="shared" ref="O33:R35" si="7">N33*1.05</f>
        <v>0</v>
      </c>
      <c r="P33" s="118">
        <f t="shared" si="7"/>
        <v>0</v>
      </c>
      <c r="Q33" s="118">
        <f t="shared" si="7"/>
        <v>0</v>
      </c>
      <c r="R33" s="118">
        <f t="shared" si="7"/>
        <v>0</v>
      </c>
      <c r="T33" s="96"/>
      <c r="U33" s="96"/>
      <c r="V33" s="96"/>
    </row>
    <row r="34" spans="1:22" x14ac:dyDescent="0.25">
      <c r="A34" s="113">
        <v>13</v>
      </c>
      <c r="B34" s="114" t="s">
        <v>108</v>
      </c>
      <c r="C34" s="117">
        <v>0.62337229999999999</v>
      </c>
      <c r="D34" s="117">
        <v>0.96101910000000001</v>
      </c>
      <c r="E34" s="118">
        <v>0.55463459999999998</v>
      </c>
      <c r="F34" s="118">
        <v>1.1442695000000001</v>
      </c>
      <c r="G34" s="118">
        <v>1.3022108999999999</v>
      </c>
      <c r="H34" s="118">
        <v>0.80070410000000003</v>
      </c>
      <c r="I34" s="118">
        <v>2.228615</v>
      </c>
      <c r="J34" s="118">
        <v>3.3694037760000004</v>
      </c>
      <c r="K34" s="118">
        <f>349.84/100</f>
        <v>3.4983999999999997</v>
      </c>
      <c r="L34" s="120">
        <f>K34*1.05</f>
        <v>3.6733199999999999</v>
      </c>
      <c r="M34" s="118">
        <f t="shared" ref="M34:N35" si="8">L34*1.05</f>
        <v>3.856986</v>
      </c>
      <c r="N34" s="118">
        <f t="shared" si="8"/>
        <v>4.0498352999999998</v>
      </c>
      <c r="O34" s="118">
        <f t="shared" si="7"/>
        <v>4.2523270650000002</v>
      </c>
      <c r="P34" s="118">
        <f t="shared" si="7"/>
        <v>4.4649434182500007</v>
      </c>
      <c r="Q34" s="118">
        <f t="shared" si="7"/>
        <v>4.6881905891625006</v>
      </c>
      <c r="R34" s="118">
        <f t="shared" si="7"/>
        <v>4.9226001186206263</v>
      </c>
      <c r="T34" s="96"/>
      <c r="U34" s="96"/>
      <c r="V34" s="96"/>
    </row>
    <row r="35" spans="1:22" x14ac:dyDescent="0.25">
      <c r="A35" s="113">
        <v>14</v>
      </c>
      <c r="B35" s="114" t="s">
        <v>109</v>
      </c>
      <c r="C35" s="117">
        <v>14.3135444</v>
      </c>
      <c r="D35" s="117">
        <v>20.733919799999999</v>
      </c>
      <c r="E35" s="118">
        <v>20.617775999999999</v>
      </c>
      <c r="F35" s="118">
        <v>21.159943500000001</v>
      </c>
      <c r="G35" s="118">
        <f>(3227915025/10^7)-G33-G34-(2666689019/10^7)</f>
        <v>52.710680700000012</v>
      </c>
      <c r="H35" s="118">
        <v>61.367087900000001</v>
      </c>
      <c r="I35" s="118">
        <v>75.9210365</v>
      </c>
      <c r="J35" s="118">
        <v>66.075087945797947</v>
      </c>
      <c r="K35" s="118">
        <v>47.55436245207661</v>
      </c>
      <c r="L35" s="120">
        <f>K35*1.5</f>
        <v>71.331543678114912</v>
      </c>
      <c r="M35" s="118">
        <f t="shared" si="8"/>
        <v>74.898120862020662</v>
      </c>
      <c r="N35" s="118">
        <f t="shared" si="8"/>
        <v>78.643026905121701</v>
      </c>
      <c r="O35" s="118">
        <f t="shared" si="7"/>
        <v>82.575178250377789</v>
      </c>
      <c r="P35" s="118">
        <f t="shared" si="7"/>
        <v>86.703937162896679</v>
      </c>
      <c r="Q35" s="118">
        <f t="shared" si="7"/>
        <v>91.039134021041519</v>
      </c>
      <c r="R35" s="118">
        <f t="shared" si="7"/>
        <v>95.591090722093597</v>
      </c>
      <c r="T35" s="96"/>
      <c r="U35" s="96"/>
      <c r="V35" s="96"/>
    </row>
    <row r="36" spans="1:22" x14ac:dyDescent="0.25">
      <c r="A36" s="113">
        <v>15</v>
      </c>
      <c r="B36" s="114" t="s">
        <v>100</v>
      </c>
      <c r="C36" s="117">
        <v>0.20747940000000001</v>
      </c>
      <c r="D36" s="117">
        <v>0.38236138499999994</v>
      </c>
      <c r="E36" s="118">
        <v>1.5797656</v>
      </c>
      <c r="F36" s="118">
        <v>1.8836108</v>
      </c>
      <c r="G36" s="118">
        <v>4.6769838999999997</v>
      </c>
      <c r="H36" s="118">
        <v>12.7103476</v>
      </c>
      <c r="I36" s="118">
        <v>8.1521998</v>
      </c>
      <c r="J36" s="118">
        <v>13.1590084131</v>
      </c>
      <c r="K36" s="120"/>
      <c r="L36" s="120">
        <v>0</v>
      </c>
      <c r="M36" s="120">
        <v>0</v>
      </c>
      <c r="N36" s="120">
        <v>0</v>
      </c>
      <c r="O36" s="120">
        <v>0</v>
      </c>
      <c r="P36" s="120">
        <v>0</v>
      </c>
      <c r="Q36" s="120">
        <v>0</v>
      </c>
      <c r="R36" s="120">
        <v>0</v>
      </c>
      <c r="T36" s="96"/>
      <c r="U36" s="96"/>
      <c r="V36" s="96"/>
    </row>
    <row r="37" spans="1:22" x14ac:dyDescent="0.25">
      <c r="A37" s="113">
        <v>16</v>
      </c>
      <c r="B37" s="114" t="s">
        <v>110</v>
      </c>
      <c r="C37" s="117">
        <v>0.41939100000000001</v>
      </c>
      <c r="D37" s="117">
        <v>0.48951480000000003</v>
      </c>
      <c r="E37" s="118">
        <v>0.77887240000000002</v>
      </c>
      <c r="F37" s="118">
        <v>1.3790936</v>
      </c>
      <c r="G37" s="118">
        <v>0.89483919999999995</v>
      </c>
      <c r="H37" s="118">
        <v>1.1026231</v>
      </c>
      <c r="I37" s="118">
        <v>1.4600044000000001</v>
      </c>
      <c r="J37" s="118">
        <v>2.1901324236000002</v>
      </c>
      <c r="K37" s="120">
        <v>25.109200000000001</v>
      </c>
      <c r="L37" s="120">
        <v>31.363331375706878</v>
      </c>
      <c r="M37" s="120">
        <v>41.313115246575322</v>
      </c>
      <c r="N37" s="120">
        <v>46.574678988745035</v>
      </c>
      <c r="O37" s="120">
        <v>54.196411011575364</v>
      </c>
      <c r="P37" s="120">
        <v>58.127575448894355</v>
      </c>
      <c r="Q37" s="120">
        <v>63.692025569722318</v>
      </c>
      <c r="R37" s="120">
        <v>70.724884925700238</v>
      </c>
      <c r="T37" s="96"/>
      <c r="U37" s="96"/>
      <c r="V37" s="96"/>
    </row>
    <row r="38" spans="1:22" x14ac:dyDescent="0.25">
      <c r="A38" s="113">
        <v>17</v>
      </c>
      <c r="B38" s="114" t="s">
        <v>111</v>
      </c>
      <c r="C38" s="117">
        <v>0.37861030000000001</v>
      </c>
      <c r="D38" s="117">
        <v>0.61819230000000003</v>
      </c>
      <c r="E38" s="118">
        <v>0.17718059999999999</v>
      </c>
      <c r="F38" s="118">
        <v>0</v>
      </c>
      <c r="G38" s="118">
        <v>2.4306141000000001</v>
      </c>
      <c r="H38" s="118">
        <v>0.65913860000000002</v>
      </c>
      <c r="I38" s="118">
        <v>3.4184613000000001</v>
      </c>
      <c r="J38" s="118">
        <v>6.1534199999999997E-2</v>
      </c>
      <c r="K38" s="118">
        <f>301.68/100</f>
        <v>3.0167999999999999</v>
      </c>
      <c r="L38" s="120">
        <v>0</v>
      </c>
      <c r="M38" s="118">
        <v>0</v>
      </c>
      <c r="N38" s="118">
        <v>0</v>
      </c>
      <c r="O38" s="118">
        <v>0</v>
      </c>
      <c r="P38" s="118">
        <v>0</v>
      </c>
      <c r="Q38" s="118">
        <v>0</v>
      </c>
      <c r="R38" s="118">
        <v>0</v>
      </c>
      <c r="T38" s="96"/>
      <c r="U38" s="96"/>
      <c r="V38" s="96"/>
    </row>
    <row r="39" spans="1:22" x14ac:dyDescent="0.25">
      <c r="A39" s="113">
        <v>18</v>
      </c>
      <c r="B39" s="114" t="s">
        <v>112</v>
      </c>
      <c r="C39" s="117">
        <v>0.1004647</v>
      </c>
      <c r="D39" s="117">
        <v>0.2043904</v>
      </c>
      <c r="E39" s="118">
        <v>0.2043904</v>
      </c>
      <c r="F39" s="118">
        <v>0.2754183</v>
      </c>
      <c r="G39" s="118">
        <v>0.26272879999999998</v>
      </c>
      <c r="H39" s="118">
        <v>0.26272879999999998</v>
      </c>
      <c r="I39" s="118">
        <v>0.46218409999999999</v>
      </c>
      <c r="J39" s="118">
        <v>1.5779406</v>
      </c>
      <c r="K39" s="118"/>
      <c r="L39" s="120">
        <f>K39*1.1</f>
        <v>0</v>
      </c>
      <c r="M39" s="118">
        <f t="shared" ref="M39:R39" si="9">L39*1.1</f>
        <v>0</v>
      </c>
      <c r="N39" s="118">
        <f t="shared" si="9"/>
        <v>0</v>
      </c>
      <c r="O39" s="118">
        <f t="shared" si="9"/>
        <v>0</v>
      </c>
      <c r="P39" s="118">
        <f t="shared" si="9"/>
        <v>0</v>
      </c>
      <c r="Q39" s="118">
        <f t="shared" si="9"/>
        <v>0</v>
      </c>
      <c r="R39" s="118">
        <f t="shared" si="9"/>
        <v>0</v>
      </c>
    </row>
    <row r="40" spans="1:22" x14ac:dyDescent="0.25">
      <c r="A40" s="113">
        <v>19</v>
      </c>
      <c r="B40" s="114" t="s">
        <v>113</v>
      </c>
      <c r="C40" s="117">
        <v>0.22211389999999998</v>
      </c>
      <c r="D40" s="117">
        <v>1.1634164</v>
      </c>
      <c r="E40" s="118">
        <v>0.29667329999999997</v>
      </c>
      <c r="F40" s="118">
        <v>0</v>
      </c>
      <c r="G40" s="118">
        <v>1.0775995</v>
      </c>
      <c r="H40" s="118">
        <v>2.985249</v>
      </c>
      <c r="I40" s="118">
        <v>2.4005345999999999</v>
      </c>
      <c r="J40" s="118">
        <v>2.6711314000000002</v>
      </c>
      <c r="K40" s="120">
        <v>1.3391403</v>
      </c>
      <c r="L40" s="120">
        <v>13.261083198710104</v>
      </c>
      <c r="M40" s="120">
        <v>14.774271105080826</v>
      </c>
      <c r="N40" s="120">
        <v>16.544952055110286</v>
      </c>
      <c r="O40" s="120">
        <v>18.766583291772857</v>
      </c>
      <c r="P40" s="120">
        <v>20.304658290399701</v>
      </c>
      <c r="Q40" s="120">
        <v>22.234901275937347</v>
      </c>
      <c r="R40" s="120">
        <v>24.600604848804188</v>
      </c>
    </row>
    <row r="41" spans="1:22" x14ac:dyDescent="0.25">
      <c r="A41" s="113"/>
      <c r="B41" s="112" t="s">
        <v>114</v>
      </c>
      <c r="C41" s="115">
        <f t="shared" ref="C41:R41" si="10">SUM(C29:C40)</f>
        <v>118.7547273</v>
      </c>
      <c r="D41" s="115">
        <f t="shared" si="10"/>
        <v>111.727738831</v>
      </c>
      <c r="E41" s="115">
        <f t="shared" si="10"/>
        <v>173.07000530000002</v>
      </c>
      <c r="F41" s="115">
        <f t="shared" si="10"/>
        <v>222.56546610000004</v>
      </c>
      <c r="G41" s="115">
        <f t="shared" si="10"/>
        <v>378.10707000000002</v>
      </c>
      <c r="H41" s="115">
        <f t="shared" si="10"/>
        <v>413.98582730000004</v>
      </c>
      <c r="I41" s="115">
        <f t="shared" si="10"/>
        <v>569.44402203199979</v>
      </c>
      <c r="J41" s="115">
        <f t="shared" si="10"/>
        <v>593.69468674156428</v>
      </c>
      <c r="K41" s="115">
        <f t="shared" ref="K41" si="11">SUM(K29:K40)</f>
        <v>958.32095324516661</v>
      </c>
      <c r="L41" s="116">
        <f t="shared" si="10"/>
        <v>1088.0679909405083</v>
      </c>
      <c r="M41" s="115">
        <f t="shared" si="10"/>
        <v>1091.8097109899797</v>
      </c>
      <c r="N41" s="115">
        <f t="shared" si="10"/>
        <v>1465.7283659174213</v>
      </c>
      <c r="O41" s="115">
        <f t="shared" si="10"/>
        <v>2013.861332952059</v>
      </c>
      <c r="P41" s="115">
        <f t="shared" si="10"/>
        <v>2340.7844476537739</v>
      </c>
      <c r="Q41" s="115">
        <f t="shared" si="10"/>
        <v>2392.2820292336414</v>
      </c>
      <c r="R41" s="115">
        <f t="shared" si="10"/>
        <v>2745.3558472818854</v>
      </c>
    </row>
    <row r="42" spans="1:22" x14ac:dyDescent="0.25">
      <c r="A42" s="113"/>
      <c r="B42" s="112" t="s">
        <v>115</v>
      </c>
      <c r="C42" s="115">
        <f t="shared" ref="C42:R42" si="12">C41+C19+C28</f>
        <v>201.52170729999997</v>
      </c>
      <c r="D42" s="115">
        <f t="shared" si="12"/>
        <v>314.71230460599998</v>
      </c>
      <c r="E42" s="115">
        <f t="shared" si="12"/>
        <v>386.50172680000003</v>
      </c>
      <c r="F42" s="115">
        <f t="shared" si="12"/>
        <v>525.17830850000007</v>
      </c>
      <c r="G42" s="115">
        <f t="shared" si="12"/>
        <v>775.51680160000001</v>
      </c>
      <c r="H42" s="115">
        <f t="shared" si="12"/>
        <v>1137.4354582230001</v>
      </c>
      <c r="I42" s="115">
        <f t="shared" si="12"/>
        <v>1221.0004990279997</v>
      </c>
      <c r="J42" s="115">
        <f t="shared" si="12"/>
        <v>1993.1498226284016</v>
      </c>
      <c r="K42" s="115">
        <f t="shared" si="12"/>
        <v>3644.0348048637056</v>
      </c>
      <c r="L42" s="116">
        <f t="shared" si="12"/>
        <v>3780.2576490553174</v>
      </c>
      <c r="M42" s="115">
        <f t="shared" si="12"/>
        <v>4307.8830068201105</v>
      </c>
      <c r="N42" s="115">
        <f t="shared" si="12"/>
        <v>5002.2720804726014</v>
      </c>
      <c r="O42" s="115">
        <f t="shared" si="12"/>
        <v>6057.7834394125803</v>
      </c>
      <c r="P42" s="115">
        <f t="shared" si="12"/>
        <v>6568.260519603622</v>
      </c>
      <c r="Q42" s="115">
        <f t="shared" si="12"/>
        <v>7667.9184358723505</v>
      </c>
      <c r="R42" s="115">
        <f t="shared" si="12"/>
        <v>9005.039431568799</v>
      </c>
    </row>
    <row r="43" spans="1:22" x14ac:dyDescent="0.25">
      <c r="A43" s="107" t="s">
        <v>116</v>
      </c>
      <c r="B43" s="112" t="s">
        <v>117</v>
      </c>
      <c r="C43" s="117"/>
      <c r="D43" s="117"/>
      <c r="E43" s="118"/>
      <c r="F43" s="118"/>
      <c r="G43" s="118"/>
      <c r="H43" s="118"/>
      <c r="I43" s="118"/>
      <c r="J43" s="118"/>
      <c r="K43" s="118"/>
      <c r="L43" s="120"/>
      <c r="M43" s="118"/>
      <c r="N43" s="118"/>
      <c r="O43" s="118"/>
      <c r="P43" s="118"/>
      <c r="Q43" s="118"/>
      <c r="R43" s="118"/>
    </row>
    <row r="44" spans="1:22" x14ac:dyDescent="0.25">
      <c r="A44" s="113">
        <v>1</v>
      </c>
      <c r="B44" s="114" t="s">
        <v>118</v>
      </c>
      <c r="C44" s="117"/>
      <c r="D44" s="117"/>
      <c r="E44" s="117"/>
      <c r="F44" s="118"/>
      <c r="G44" s="118"/>
      <c r="H44" s="118"/>
      <c r="I44" s="118"/>
      <c r="J44" s="118"/>
      <c r="K44" s="118"/>
      <c r="L44" s="120"/>
      <c r="M44" s="118"/>
      <c r="N44" s="118"/>
      <c r="O44" s="118"/>
      <c r="P44" s="118"/>
      <c r="Q44" s="118"/>
      <c r="R44" s="118"/>
    </row>
    <row r="45" spans="1:22" x14ac:dyDescent="0.25">
      <c r="A45" s="113"/>
      <c r="B45" s="112" t="s">
        <v>119</v>
      </c>
      <c r="C45" s="115">
        <v>2.7485091000000001</v>
      </c>
      <c r="D45" s="115">
        <v>3.5498482999999998</v>
      </c>
      <c r="E45" s="115">
        <v>5.1578533000000002</v>
      </c>
      <c r="F45" s="115">
        <v>7.5817161000000004</v>
      </c>
      <c r="G45" s="115">
        <v>14.3</v>
      </c>
      <c r="H45" s="115">
        <v>14.299630000000001</v>
      </c>
      <c r="I45" s="116">
        <v>18.813986044</v>
      </c>
      <c r="J45" s="116">
        <v>27.089395690915364</v>
      </c>
      <c r="K45" s="116">
        <f>K46+K47</f>
        <v>60.240041190915356</v>
      </c>
      <c r="L45" s="116">
        <f>K45+K48</f>
        <v>63.735241190915353</v>
      </c>
      <c r="M45" s="116">
        <f>L45+Assumptions!F35</f>
        <v>66.23524119091536</v>
      </c>
      <c r="N45" s="116">
        <f>M45+Assumptions!G35</f>
        <v>70.73524119091536</v>
      </c>
      <c r="O45" s="116">
        <f>N45+Assumptions!H35</f>
        <v>75.73524119091536</v>
      </c>
      <c r="P45" s="116">
        <f>O45+Assumptions!I35</f>
        <v>81.23524119091536</v>
      </c>
      <c r="Q45" s="116">
        <f>P45+Assumptions!J35</f>
        <v>87.23524119091536</v>
      </c>
      <c r="R45" s="116">
        <f>Q45+Assumptions!K35</f>
        <v>93.73524119091536</v>
      </c>
      <c r="T45" s="89"/>
    </row>
    <row r="46" spans="1:22" x14ac:dyDescent="0.25">
      <c r="A46" s="113"/>
      <c r="B46" s="114" t="s">
        <v>120</v>
      </c>
      <c r="C46" s="117">
        <v>0.68641430000000003</v>
      </c>
      <c r="D46" s="117">
        <v>1.0111059</v>
      </c>
      <c r="E46" s="118">
        <v>1.6922151999999999</v>
      </c>
      <c r="F46" s="118">
        <v>2.413251326533254</v>
      </c>
      <c r="G46" s="118">
        <v>3.92</v>
      </c>
      <c r="H46" s="118">
        <v>1.668903</v>
      </c>
      <c r="I46" s="118">
        <v>6.2449437000000003</v>
      </c>
      <c r="J46" s="118">
        <v>9.4574411909153628</v>
      </c>
      <c r="K46" s="118">
        <f>'P&amp;L'!K24+J46</f>
        <v>17.632741190915361</v>
      </c>
      <c r="L46" s="120">
        <f t="shared" ref="L46:R46" si="13">K46+L45*0.13</f>
        <v>25.918322545734355</v>
      </c>
      <c r="M46" s="120">
        <f t="shared" si="13"/>
        <v>34.528903900553352</v>
      </c>
      <c r="N46" s="120">
        <f t="shared" si="13"/>
        <v>43.72448525537235</v>
      </c>
      <c r="O46" s="120">
        <f t="shared" si="13"/>
        <v>53.570066610191347</v>
      </c>
      <c r="P46" s="120">
        <f t="shared" si="13"/>
        <v>64.13064796501034</v>
      </c>
      <c r="Q46" s="120">
        <f t="shared" si="13"/>
        <v>75.471229319829334</v>
      </c>
      <c r="R46" s="120">
        <f t="shared" si="13"/>
        <v>87.656810674648327</v>
      </c>
      <c r="S46" s="89"/>
      <c r="T46" s="89"/>
      <c r="V46" s="89"/>
    </row>
    <row r="47" spans="1:22" x14ac:dyDescent="0.25">
      <c r="A47" s="113"/>
      <c r="B47" s="112" t="s">
        <v>121</v>
      </c>
      <c r="C47" s="115">
        <f t="shared" ref="C47:J47" si="14">C45-C46</f>
        <v>2.0620948000000001</v>
      </c>
      <c r="D47" s="115">
        <f t="shared" si="14"/>
        <v>2.5387423999999998</v>
      </c>
      <c r="E47" s="115">
        <f t="shared" si="14"/>
        <v>3.4656381000000005</v>
      </c>
      <c r="F47" s="115">
        <f t="shared" si="14"/>
        <v>5.1684647734667468</v>
      </c>
      <c r="G47" s="115">
        <f t="shared" si="14"/>
        <v>10.38</v>
      </c>
      <c r="H47" s="115">
        <f t="shared" si="14"/>
        <v>12.630727</v>
      </c>
      <c r="I47" s="115">
        <f t="shared" si="14"/>
        <v>12.569042344</v>
      </c>
      <c r="J47" s="115">
        <f t="shared" si="14"/>
        <v>17.631954499999999</v>
      </c>
      <c r="K47" s="116">
        <v>42.607299999999995</v>
      </c>
      <c r="L47" s="116">
        <f t="shared" ref="L47:R47" si="15">L45-L46</f>
        <v>37.816918645180998</v>
      </c>
      <c r="M47" s="115">
        <f t="shared" si="15"/>
        <v>31.706337290362008</v>
      </c>
      <c r="N47" s="115">
        <f t="shared" si="15"/>
        <v>27.01075593554301</v>
      </c>
      <c r="O47" s="115">
        <f t="shared" si="15"/>
        <v>22.165174580724013</v>
      </c>
      <c r="P47" s="115">
        <f t="shared" si="15"/>
        <v>17.10459322590502</v>
      </c>
      <c r="Q47" s="115">
        <f t="shared" si="15"/>
        <v>11.764011871086026</v>
      </c>
      <c r="R47" s="115">
        <f t="shared" si="15"/>
        <v>6.0784305162670336</v>
      </c>
      <c r="S47" s="96"/>
      <c r="T47" s="89"/>
    </row>
    <row r="48" spans="1:22" x14ac:dyDescent="0.25">
      <c r="A48" s="113">
        <v>2</v>
      </c>
      <c r="B48" s="112" t="s">
        <v>122</v>
      </c>
      <c r="C48" s="121">
        <v>0</v>
      </c>
      <c r="D48" s="121">
        <v>0</v>
      </c>
      <c r="E48" s="118"/>
      <c r="F48" s="118"/>
      <c r="G48" s="118"/>
      <c r="H48" s="118"/>
      <c r="I48" s="115">
        <v>0.96864340000000004</v>
      </c>
      <c r="J48" s="115">
        <v>6.2956200000000004E-2</v>
      </c>
      <c r="K48" s="115">
        <v>3.4951999999999996</v>
      </c>
      <c r="L48" s="116">
        <v>5</v>
      </c>
      <c r="M48" s="116">
        <v>5</v>
      </c>
      <c r="N48" s="116">
        <v>2</v>
      </c>
      <c r="O48" s="116">
        <v>2</v>
      </c>
      <c r="P48" s="116">
        <v>2</v>
      </c>
      <c r="Q48" s="116">
        <v>2</v>
      </c>
      <c r="R48" s="116">
        <v>2</v>
      </c>
      <c r="S48" s="92"/>
    </row>
    <row r="49" spans="1:21" x14ac:dyDescent="0.25">
      <c r="A49" s="113"/>
      <c r="B49" s="112" t="s">
        <v>123</v>
      </c>
      <c r="C49" s="117"/>
      <c r="D49" s="117"/>
      <c r="E49" s="118"/>
      <c r="F49" s="118"/>
      <c r="G49" s="118"/>
      <c r="H49" s="118"/>
      <c r="I49" s="118"/>
      <c r="J49" s="118"/>
      <c r="K49" s="118"/>
      <c r="L49" s="120"/>
      <c r="M49" s="118"/>
      <c r="N49" s="118"/>
      <c r="O49" s="118"/>
      <c r="P49" s="118"/>
      <c r="Q49" s="118"/>
      <c r="R49" s="118"/>
    </row>
    <row r="50" spans="1:21" x14ac:dyDescent="0.25">
      <c r="A50" s="113">
        <v>3</v>
      </c>
      <c r="B50" s="114" t="s">
        <v>124</v>
      </c>
      <c r="C50" s="117">
        <v>3.7953714999999666</v>
      </c>
      <c r="D50" s="117">
        <v>2.6176504</v>
      </c>
      <c r="E50" s="117">
        <v>4.2460347000000001</v>
      </c>
      <c r="F50" s="117">
        <v>5.3625436000000004</v>
      </c>
      <c r="G50" s="117">
        <v>40.090000000000003</v>
      </c>
      <c r="H50" s="117">
        <v>80.112606499999998</v>
      </c>
      <c r="I50" s="117">
        <f>I42-I47-I48-I53-I54-I56-I57-I71-I51-I55</f>
        <v>9.1876765489998053</v>
      </c>
      <c r="J50" s="117">
        <v>74.275138346000006</v>
      </c>
      <c r="K50" s="119">
        <f>K42-K47-K48-K53-K54-K56-K57-K71-K51-K55-K58</f>
        <v>62.371604995140103</v>
      </c>
      <c r="L50" s="119">
        <f>L42-L47-L48-L53-L54-L56-L57-L71-L51-L55-L58</f>
        <v>244.25972786645065</v>
      </c>
      <c r="M50" s="119">
        <f t="shared" ref="M50:R50" si="16">M42-M47-M48-M53-M54-M56-M57-M71-M51-M55-M58</f>
        <v>357.88139994216891</v>
      </c>
      <c r="N50" s="119">
        <f t="shared" si="16"/>
        <v>324.64496964482498</v>
      </c>
      <c r="O50" s="119">
        <f t="shared" si="16"/>
        <v>367.44906627692467</v>
      </c>
      <c r="P50" s="119">
        <f t="shared" si="16"/>
        <v>472.65406079689876</v>
      </c>
      <c r="Q50" s="119">
        <f t="shared" si="16"/>
        <v>504.49058234152943</v>
      </c>
      <c r="R50" s="119">
        <f t="shared" si="16"/>
        <v>511.34759856876894</v>
      </c>
    </row>
    <row r="51" spans="1:21" x14ac:dyDescent="0.25">
      <c r="A51" s="113">
        <v>4</v>
      </c>
      <c r="B51" s="114" t="s">
        <v>125</v>
      </c>
      <c r="C51" s="117">
        <v>8.8182793999999998</v>
      </c>
      <c r="D51" s="117">
        <v>19.819692799999999</v>
      </c>
      <c r="E51" s="118">
        <v>20.5132811</v>
      </c>
      <c r="F51" s="118">
        <v>21.002611399999999</v>
      </c>
      <c r="G51" s="118">
        <v>15.3334001</v>
      </c>
      <c r="H51" s="118">
        <v>23.623779899999999</v>
      </c>
      <c r="I51" s="118">
        <v>20.182230714999999</v>
      </c>
      <c r="J51" s="118">
        <v>203.331527698</v>
      </c>
      <c r="K51" s="118">
        <v>164.39860000000002</v>
      </c>
      <c r="L51" s="120">
        <v>15.960567652380952</v>
      </c>
      <c r="M51" s="118">
        <v>10.762197152380953</v>
      </c>
      <c r="N51" s="118">
        <v>5.3810985761904764</v>
      </c>
      <c r="O51" s="118">
        <v>2.6905492880952382</v>
      </c>
      <c r="P51" s="118">
        <v>1.3452746440476191</v>
      </c>
      <c r="Q51" s="118">
        <v>0.67263732202380955</v>
      </c>
      <c r="R51" s="118">
        <v>0.33631866101190477</v>
      </c>
    </row>
    <row r="52" spans="1:21" x14ac:dyDescent="0.25">
      <c r="A52" s="113"/>
      <c r="B52" s="114" t="s">
        <v>126</v>
      </c>
      <c r="C52" s="117">
        <v>0</v>
      </c>
      <c r="D52" s="117">
        <v>0</v>
      </c>
      <c r="E52" s="118">
        <v>0.4928669</v>
      </c>
      <c r="F52" s="118">
        <v>0</v>
      </c>
      <c r="G52" s="118">
        <v>0</v>
      </c>
      <c r="H52" s="118"/>
      <c r="I52" s="118">
        <v>0</v>
      </c>
      <c r="J52" s="118">
        <v>0</v>
      </c>
      <c r="K52" s="118"/>
      <c r="L52" s="120">
        <v>0</v>
      </c>
      <c r="M52" s="118">
        <f t="shared" ref="M52:R52" si="17">L52*1.005</f>
        <v>0</v>
      </c>
      <c r="N52" s="118">
        <f t="shared" si="17"/>
        <v>0</v>
      </c>
      <c r="O52" s="118">
        <f t="shared" si="17"/>
        <v>0</v>
      </c>
      <c r="P52" s="118">
        <f t="shared" si="17"/>
        <v>0</v>
      </c>
      <c r="Q52" s="118">
        <f t="shared" si="17"/>
        <v>0</v>
      </c>
      <c r="R52" s="118">
        <f t="shared" si="17"/>
        <v>0</v>
      </c>
    </row>
    <row r="53" spans="1:21" x14ac:dyDescent="0.25">
      <c r="A53" s="113">
        <v>5</v>
      </c>
      <c r="B53" s="114" t="s">
        <v>127</v>
      </c>
      <c r="C53" s="117">
        <v>0.46323809999999999</v>
      </c>
      <c r="D53" s="117">
        <v>0.2616117</v>
      </c>
      <c r="E53" s="118">
        <v>0.48628139999999997</v>
      </c>
      <c r="F53" s="118">
        <v>1.2248165</v>
      </c>
      <c r="G53" s="118">
        <v>1.8924510999999999</v>
      </c>
      <c r="H53" s="118">
        <v>0.41698760000000001</v>
      </c>
      <c r="I53" s="118">
        <v>0.23841109999999999</v>
      </c>
      <c r="J53" s="118">
        <v>2.6514300000000001E-2</v>
      </c>
      <c r="K53" s="118"/>
      <c r="L53" s="120">
        <v>0</v>
      </c>
      <c r="M53" s="118">
        <v>0</v>
      </c>
      <c r="N53" s="118">
        <v>0</v>
      </c>
      <c r="O53" s="118">
        <v>0</v>
      </c>
      <c r="P53" s="118">
        <v>0</v>
      </c>
      <c r="Q53" s="118">
        <v>0</v>
      </c>
      <c r="R53" s="118">
        <v>0</v>
      </c>
    </row>
    <row r="54" spans="1:21" x14ac:dyDescent="0.25">
      <c r="A54" s="113">
        <v>6</v>
      </c>
      <c r="B54" s="114" t="s">
        <v>128</v>
      </c>
      <c r="C54" s="117">
        <v>62.744801500000001</v>
      </c>
      <c r="D54" s="117">
        <v>111.8368517</v>
      </c>
      <c r="E54" s="118">
        <v>154.4740778</v>
      </c>
      <c r="F54" s="118">
        <v>214.91319360999998</v>
      </c>
      <c r="G54" s="118">
        <v>239.41</v>
      </c>
      <c r="H54" s="118">
        <v>334.88905435999999</v>
      </c>
      <c r="I54" s="118">
        <v>399.07676099999998</v>
      </c>
      <c r="J54" s="118">
        <v>590.670915315</v>
      </c>
      <c r="K54" s="118">
        <v>965.23230000000012</v>
      </c>
      <c r="L54" s="120">
        <v>1122.40682496</v>
      </c>
      <c r="M54" s="120">
        <v>1191.506468864</v>
      </c>
      <c r="N54" s="120">
        <v>1648.6905482368002</v>
      </c>
      <c r="O54" s="120">
        <v>2317.1157619948799</v>
      </c>
      <c r="P54" s="120">
        <v>2782.007725910848</v>
      </c>
      <c r="Q54" s="120">
        <v>3281.9430218420512</v>
      </c>
      <c r="R54" s="120">
        <v>3904.8809641973339</v>
      </c>
    </row>
    <row r="55" spans="1:21" x14ac:dyDescent="0.25">
      <c r="A55" s="113">
        <v>7</v>
      </c>
      <c r="B55" s="114" t="s">
        <v>129</v>
      </c>
      <c r="C55" s="117">
        <v>0.10655000000000001</v>
      </c>
      <c r="D55" s="117">
        <v>0.23718220000000001</v>
      </c>
      <c r="E55" s="118">
        <v>0.13789999999999999</v>
      </c>
      <c r="F55" s="118">
        <v>0.1621245</v>
      </c>
      <c r="G55" s="118">
        <v>0.15277209999999999</v>
      </c>
      <c r="H55" s="118">
        <v>0.2148485</v>
      </c>
      <c r="I55" s="118">
        <v>0.22096370000000001</v>
      </c>
      <c r="J55" s="118">
        <v>0.24882689999999999</v>
      </c>
      <c r="K55" s="118">
        <f>41.64/100</f>
        <v>0.41639999999999999</v>
      </c>
      <c r="L55" s="120">
        <f>K55*1.05</f>
        <v>0.43722</v>
      </c>
      <c r="M55" s="118">
        <f t="shared" ref="M55:R57" si="18">L55*1.05</f>
        <v>0.45908100000000002</v>
      </c>
      <c r="N55" s="118">
        <f t="shared" si="18"/>
        <v>0.48203505000000002</v>
      </c>
      <c r="O55" s="118">
        <f t="shared" si="18"/>
        <v>0.50613680250000004</v>
      </c>
      <c r="P55" s="118">
        <f t="shared" si="18"/>
        <v>0.5314436426250001</v>
      </c>
      <c r="Q55" s="118">
        <f t="shared" si="18"/>
        <v>0.55801582475625011</v>
      </c>
      <c r="R55" s="118">
        <f t="shared" si="18"/>
        <v>0.58591661599406264</v>
      </c>
    </row>
    <row r="56" spans="1:21" x14ac:dyDescent="0.25">
      <c r="A56" s="113">
        <v>8</v>
      </c>
      <c r="B56" s="114" t="s">
        <v>130</v>
      </c>
      <c r="C56" s="117">
        <v>10.074517999999999</v>
      </c>
      <c r="D56" s="117">
        <v>11.206393847999999</v>
      </c>
      <c r="E56" s="118">
        <v>2.0646106999999998</v>
      </c>
      <c r="F56" s="118">
        <v>3.1982339999999998</v>
      </c>
      <c r="G56" s="118">
        <v>17.719184500000001</v>
      </c>
      <c r="H56" s="118">
        <v>7.5105487000000002</v>
      </c>
      <c r="I56" s="118">
        <v>26.2049998</v>
      </c>
      <c r="J56" s="118">
        <v>26.533274519999996</v>
      </c>
      <c r="K56" s="118">
        <f>25.5568391540235+10.1215</f>
        <v>35.678339154023497</v>
      </c>
      <c r="L56" s="120">
        <f>K56*1.25</f>
        <v>44.59792394252937</v>
      </c>
      <c r="M56" s="120">
        <f>L56*1.25</f>
        <v>55.747404928161714</v>
      </c>
      <c r="N56" s="118">
        <f t="shared" si="18"/>
        <v>58.534775174569802</v>
      </c>
      <c r="O56" s="118">
        <f t="shared" si="18"/>
        <v>61.461513933298292</v>
      </c>
      <c r="P56" s="118">
        <f t="shared" si="18"/>
        <v>64.534589629963207</v>
      </c>
      <c r="Q56" s="118">
        <f t="shared" si="18"/>
        <v>67.761319111461376</v>
      </c>
      <c r="R56" s="118">
        <f t="shared" si="18"/>
        <v>71.149385067034444</v>
      </c>
    </row>
    <row r="57" spans="1:21" x14ac:dyDescent="0.25">
      <c r="A57" s="113">
        <v>9</v>
      </c>
      <c r="B57" s="114" t="s">
        <v>131</v>
      </c>
      <c r="C57" s="117">
        <v>7.9178997000000004</v>
      </c>
      <c r="D57" s="117">
        <v>15.702085800000001</v>
      </c>
      <c r="E57" s="118">
        <v>26.428361800000001</v>
      </c>
      <c r="F57" s="118">
        <v>25.412329</v>
      </c>
      <c r="G57" s="118">
        <v>46.037877999999999</v>
      </c>
      <c r="H57" s="118">
        <v>67.076061499999994</v>
      </c>
      <c r="I57" s="118">
        <v>61.843732950000003</v>
      </c>
      <c r="J57" s="118">
        <v>47.770021783000004</v>
      </c>
      <c r="K57" s="118">
        <f>3.1824113+0.2147895215956+3.7182</f>
        <v>7.1154008215955997</v>
      </c>
      <c r="L57" s="120">
        <f>K57*2</f>
        <v>14.230801643191199</v>
      </c>
      <c r="M57" s="118">
        <f>L57*1.05</f>
        <v>14.94234172535076</v>
      </c>
      <c r="N57" s="118">
        <f>M57*1.05</f>
        <v>15.689458811618298</v>
      </c>
      <c r="O57" s="118">
        <f t="shared" si="18"/>
        <v>16.473931752199213</v>
      </c>
      <c r="P57" s="118">
        <f t="shared" si="18"/>
        <v>17.297628339809176</v>
      </c>
      <c r="Q57" s="118">
        <f t="shared" si="18"/>
        <v>18.162509756799636</v>
      </c>
      <c r="R57" s="118">
        <f t="shared" si="18"/>
        <v>19.070635244639618</v>
      </c>
    </row>
    <row r="58" spans="1:21" x14ac:dyDescent="0.25">
      <c r="A58" s="113">
        <v>10</v>
      </c>
      <c r="B58" s="114" t="s">
        <v>132</v>
      </c>
      <c r="C58" s="117"/>
      <c r="D58" s="117"/>
      <c r="E58" s="118"/>
      <c r="F58" s="118"/>
      <c r="G58" s="118">
        <v>16.505016300000001</v>
      </c>
      <c r="H58" s="118"/>
      <c r="I58" s="118">
        <v>0</v>
      </c>
      <c r="J58" s="118">
        <v>11</v>
      </c>
      <c r="K58" s="118">
        <v>137.369</v>
      </c>
      <c r="L58" s="118">
        <v>0</v>
      </c>
      <c r="M58" s="118">
        <v>0</v>
      </c>
      <c r="N58" s="118">
        <v>0</v>
      </c>
      <c r="O58" s="118">
        <v>0</v>
      </c>
      <c r="P58" s="118">
        <v>0</v>
      </c>
      <c r="Q58" s="118">
        <v>0</v>
      </c>
      <c r="R58" s="118">
        <v>0</v>
      </c>
    </row>
    <row r="59" spans="1:21" x14ac:dyDescent="0.25">
      <c r="A59" s="122"/>
      <c r="B59" s="123" t="s">
        <v>133</v>
      </c>
      <c r="C59" s="115">
        <f>SUM(C50:C57)</f>
        <v>93.920658199999963</v>
      </c>
      <c r="D59" s="115">
        <f>SUM(D50:D57)</f>
        <v>161.681468448</v>
      </c>
      <c r="E59" s="115">
        <f t="shared" ref="E59:R59" si="19">SUM(E50:E58)</f>
        <v>208.8434144</v>
      </c>
      <c r="F59" s="115">
        <f t="shared" si="19"/>
        <v>271.27585261000002</v>
      </c>
      <c r="G59" s="115">
        <f t="shared" si="19"/>
        <v>377.1407021</v>
      </c>
      <c r="H59" s="115">
        <f t="shared" si="19"/>
        <v>513.84388706000004</v>
      </c>
      <c r="I59" s="115">
        <f t="shared" si="19"/>
        <v>516.95477581399973</v>
      </c>
      <c r="J59" s="115">
        <f t="shared" si="19"/>
        <v>953.85621886200011</v>
      </c>
      <c r="K59" s="115">
        <f t="shared" si="19"/>
        <v>1372.5816449707593</v>
      </c>
      <c r="L59" s="116">
        <f t="shared" si="19"/>
        <v>1441.8930660645522</v>
      </c>
      <c r="M59" s="115">
        <f t="shared" si="19"/>
        <v>1631.2988936120626</v>
      </c>
      <c r="N59" s="115">
        <f t="shared" si="19"/>
        <v>2053.4228854940038</v>
      </c>
      <c r="O59" s="115">
        <f t="shared" si="19"/>
        <v>2765.6969600478974</v>
      </c>
      <c r="P59" s="115">
        <f t="shared" si="19"/>
        <v>3338.3707229641918</v>
      </c>
      <c r="Q59" s="115">
        <f t="shared" si="19"/>
        <v>3873.5880861986216</v>
      </c>
      <c r="R59" s="115">
        <f t="shared" si="19"/>
        <v>4507.3708183547824</v>
      </c>
    </row>
    <row r="60" spans="1:21" x14ac:dyDescent="0.25">
      <c r="A60" s="113"/>
      <c r="B60" s="112" t="s">
        <v>134</v>
      </c>
      <c r="C60" s="117"/>
      <c r="D60" s="117"/>
      <c r="E60" s="118"/>
      <c r="F60" s="118"/>
      <c r="G60" s="118"/>
      <c r="H60" s="118"/>
      <c r="I60" s="118"/>
      <c r="J60" s="118"/>
      <c r="K60" s="118"/>
      <c r="L60" s="120"/>
      <c r="M60" s="118"/>
      <c r="N60" s="118"/>
      <c r="O60" s="118"/>
      <c r="P60" s="118"/>
      <c r="Q60" s="118"/>
      <c r="R60" s="118"/>
    </row>
    <row r="61" spans="1:21" x14ac:dyDescent="0.25">
      <c r="A61" s="113">
        <v>10</v>
      </c>
      <c r="B61" s="114" t="s">
        <v>135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/>
      <c r="I61" s="117">
        <v>0</v>
      </c>
      <c r="J61" s="117">
        <v>0</v>
      </c>
      <c r="K61" s="119">
        <v>0</v>
      </c>
      <c r="L61" s="119">
        <v>0</v>
      </c>
      <c r="M61" s="117">
        <v>0</v>
      </c>
      <c r="N61" s="117">
        <v>0</v>
      </c>
      <c r="O61" s="117">
        <v>0</v>
      </c>
      <c r="P61" s="117">
        <v>0</v>
      </c>
      <c r="Q61" s="117">
        <v>0</v>
      </c>
      <c r="R61" s="117">
        <v>0</v>
      </c>
      <c r="T61" s="96"/>
      <c r="U61" s="96"/>
    </row>
    <row r="62" spans="1:21" x14ac:dyDescent="0.25">
      <c r="A62" s="113">
        <v>11</v>
      </c>
      <c r="B62" s="114" t="s">
        <v>136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/>
      <c r="I62" s="117">
        <v>0</v>
      </c>
      <c r="J62" s="117">
        <v>0</v>
      </c>
      <c r="K62" s="119">
        <v>0</v>
      </c>
      <c r="L62" s="119">
        <v>0</v>
      </c>
      <c r="M62" s="117">
        <v>0</v>
      </c>
      <c r="N62" s="117">
        <v>0</v>
      </c>
      <c r="O62" s="117">
        <v>0</v>
      </c>
      <c r="P62" s="117">
        <v>0</v>
      </c>
      <c r="Q62" s="117">
        <v>0</v>
      </c>
      <c r="R62" s="117">
        <v>0</v>
      </c>
    </row>
    <row r="63" spans="1:21" x14ac:dyDescent="0.25">
      <c r="A63" s="113">
        <v>12</v>
      </c>
      <c r="B63" s="114" t="s">
        <v>137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/>
      <c r="I63" s="117">
        <v>0</v>
      </c>
      <c r="J63" s="117">
        <v>0</v>
      </c>
      <c r="K63" s="119">
        <v>0</v>
      </c>
      <c r="L63" s="119">
        <v>0</v>
      </c>
      <c r="M63" s="117">
        <v>0</v>
      </c>
      <c r="N63" s="117">
        <v>0</v>
      </c>
      <c r="O63" s="117">
        <v>0</v>
      </c>
      <c r="P63" s="117">
        <v>0</v>
      </c>
      <c r="Q63" s="117">
        <v>0</v>
      </c>
      <c r="R63" s="117">
        <v>0</v>
      </c>
    </row>
    <row r="64" spans="1:21" x14ac:dyDescent="0.25">
      <c r="A64" s="113">
        <v>13</v>
      </c>
      <c r="B64" s="114" t="s">
        <v>138</v>
      </c>
      <c r="C64" s="117">
        <v>0</v>
      </c>
      <c r="D64" s="117">
        <v>0.92808860000000004</v>
      </c>
      <c r="E64" s="118">
        <v>0.92808860000000004</v>
      </c>
      <c r="F64" s="118">
        <v>0</v>
      </c>
      <c r="G64" s="118">
        <v>0</v>
      </c>
      <c r="H64" s="118"/>
      <c r="I64" s="118">
        <v>4.6666786</v>
      </c>
      <c r="J64" s="117">
        <v>4.6666786</v>
      </c>
      <c r="K64" s="117">
        <v>1</v>
      </c>
      <c r="L64" s="120">
        <f>K64*1.05</f>
        <v>1.05</v>
      </c>
      <c r="M64" s="118">
        <f t="shared" ref="M64:R64" si="20">L64*1.05</f>
        <v>1.1025</v>
      </c>
      <c r="N64" s="118">
        <f t="shared" si="20"/>
        <v>1.1576250000000001</v>
      </c>
      <c r="O64" s="118">
        <f t="shared" si="20"/>
        <v>1.2155062500000002</v>
      </c>
      <c r="P64" s="118">
        <f t="shared" si="20"/>
        <v>1.2762815625000004</v>
      </c>
      <c r="Q64" s="118">
        <f t="shared" si="20"/>
        <v>1.3400956406250004</v>
      </c>
      <c r="R64" s="118">
        <f t="shared" si="20"/>
        <v>1.4071004226562505</v>
      </c>
    </row>
    <row r="65" spans="1:20" x14ac:dyDescent="0.25">
      <c r="A65" s="113">
        <v>14</v>
      </c>
      <c r="B65" s="114" t="s">
        <v>139</v>
      </c>
      <c r="C65" s="117">
        <v>16.822033300000001</v>
      </c>
      <c r="D65" s="117">
        <v>16.527408000000001</v>
      </c>
      <c r="E65" s="118">
        <v>0.48651749999999999</v>
      </c>
      <c r="F65" s="118">
        <v>0.70184349999999995</v>
      </c>
      <c r="G65" s="118">
        <v>0.53391599999999995</v>
      </c>
      <c r="H65" s="118">
        <v>0.57999999999999996</v>
      </c>
      <c r="I65" s="118">
        <v>0.63131360000000003</v>
      </c>
      <c r="J65" s="118">
        <v>0.85053350000000005</v>
      </c>
      <c r="K65" s="119">
        <v>0</v>
      </c>
      <c r="L65" s="120">
        <f>K65+((Assumptions!E7-Assumptions!D7)*0.0005)</f>
        <v>5.0000000000000001E-3</v>
      </c>
      <c r="M65" s="118">
        <f>L65+((Assumptions!F7-Assumptions!E7)*0.0005)</f>
        <v>5.0000000000000001E-3</v>
      </c>
      <c r="N65" s="118">
        <f>M65+((Assumptions!G7-Assumptions!F7)*0.0005)</f>
        <v>1.4999999999999999E-2</v>
      </c>
      <c r="O65" s="118">
        <f>N65+((Assumptions!H7-Assumptions!G7)*0.0005)</f>
        <v>1.4999999999999999E-2</v>
      </c>
      <c r="P65" s="118">
        <f>O65+((Assumptions!I7-Assumptions!H7)*0.0005)</f>
        <v>1.4999999999999999E-2</v>
      </c>
      <c r="Q65" s="118">
        <f>P65+((Assumptions!J7-Assumptions!I7)*0.0005)</f>
        <v>1.4999999999999999E-2</v>
      </c>
      <c r="R65" s="118">
        <f>Q65+((Assumptions!K7-Assumptions!J7)*0.0005)</f>
        <v>1.4999999999999999E-2</v>
      </c>
    </row>
    <row r="66" spans="1:20" x14ac:dyDescent="0.25">
      <c r="A66" s="113">
        <v>15</v>
      </c>
      <c r="B66" s="114" t="s">
        <v>140</v>
      </c>
      <c r="C66" s="117">
        <v>88.344104200000004</v>
      </c>
      <c r="D66" s="117">
        <v>128.79191193800003</v>
      </c>
      <c r="E66" s="118">
        <v>166.232775</v>
      </c>
      <c r="F66" s="118">
        <v>242.13764569</v>
      </c>
      <c r="G66" s="118">
        <f>362.702831774746-26.93</f>
        <v>335.77283177474601</v>
      </c>
      <c r="H66" s="118">
        <v>583.03507060000004</v>
      </c>
      <c r="I66" s="118">
        <v>611.35533199999998</v>
      </c>
      <c r="J66" s="118">
        <v>939.01502436899989</v>
      </c>
      <c r="K66" s="120">
        <v>1983.0964999999999</v>
      </c>
      <c r="L66" s="120">
        <v>1995.3899110400002</v>
      </c>
      <c r="M66" s="118">
        <v>2531.9512463360002</v>
      </c>
      <c r="N66" s="118">
        <v>2807.2298524032003</v>
      </c>
      <c r="O66" s="118">
        <v>3199.8265284691197</v>
      </c>
      <c r="P66" s="118">
        <v>3137.1576483675522</v>
      </c>
      <c r="Q66" s="118">
        <v>3700.9144714389095</v>
      </c>
      <c r="R66" s="118">
        <v>4403.3764064352918</v>
      </c>
    </row>
    <row r="67" spans="1:20" x14ac:dyDescent="0.25">
      <c r="A67" s="113">
        <v>16</v>
      </c>
      <c r="B67" s="114" t="s">
        <v>141</v>
      </c>
      <c r="C67" s="117">
        <v>2.5000000000000001E-3</v>
      </c>
      <c r="D67" s="117">
        <v>0</v>
      </c>
      <c r="E67" s="118">
        <v>0</v>
      </c>
      <c r="F67" s="118">
        <v>0</v>
      </c>
      <c r="G67" s="118">
        <v>0</v>
      </c>
      <c r="H67" s="118"/>
      <c r="I67" s="118"/>
      <c r="J67" s="118">
        <v>0</v>
      </c>
      <c r="K67" s="120">
        <v>0</v>
      </c>
      <c r="L67" s="120">
        <v>0</v>
      </c>
      <c r="M67" s="118">
        <v>0</v>
      </c>
      <c r="N67" s="118">
        <v>0</v>
      </c>
      <c r="O67" s="118">
        <v>0</v>
      </c>
      <c r="P67" s="118">
        <v>0</v>
      </c>
      <c r="Q67" s="118">
        <v>0</v>
      </c>
      <c r="R67" s="118">
        <v>0</v>
      </c>
    </row>
    <row r="68" spans="1:20" x14ac:dyDescent="0.25">
      <c r="A68" s="113">
        <v>17</v>
      </c>
      <c r="B68" s="114" t="s">
        <v>142</v>
      </c>
      <c r="C68" s="117">
        <v>0.37581049999999999</v>
      </c>
      <c r="D68" s="117">
        <v>0.58022839999999998</v>
      </c>
      <c r="E68" s="118">
        <v>1.1825772000000001</v>
      </c>
      <c r="F68" s="118">
        <v>1.7697255999999999</v>
      </c>
      <c r="G68" s="118">
        <v>4.3272146999999999</v>
      </c>
      <c r="H68" s="118">
        <v>7.0703718000000002</v>
      </c>
      <c r="I68" s="118">
        <v>6.2363995000000001</v>
      </c>
      <c r="J68" s="118">
        <v>8.2423239000000006</v>
      </c>
      <c r="K68" s="118">
        <v>19.319200000000002</v>
      </c>
      <c r="L68" s="120">
        <f>K68*1.05</f>
        <v>20.285160000000005</v>
      </c>
      <c r="M68" s="118">
        <f t="shared" ref="M68:R68" si="21">L68*1.05</f>
        <v>21.299418000000006</v>
      </c>
      <c r="N68" s="118">
        <f t="shared" si="21"/>
        <v>22.364388900000009</v>
      </c>
      <c r="O68" s="118">
        <f t="shared" si="21"/>
        <v>23.48260834500001</v>
      </c>
      <c r="P68" s="118">
        <f t="shared" si="21"/>
        <v>24.656738762250011</v>
      </c>
      <c r="Q68" s="118">
        <f t="shared" si="21"/>
        <v>25.889575700362514</v>
      </c>
      <c r="R68" s="118">
        <f t="shared" si="21"/>
        <v>27.184054485380642</v>
      </c>
    </row>
    <row r="69" spans="1:20" x14ac:dyDescent="0.25">
      <c r="A69" s="113">
        <v>18</v>
      </c>
      <c r="B69" s="114" t="s">
        <v>143</v>
      </c>
      <c r="C69" s="117"/>
      <c r="D69" s="117">
        <v>2.9</v>
      </c>
      <c r="E69" s="118">
        <v>4.1597635000000004</v>
      </c>
      <c r="F69" s="118">
        <v>3.3687974000000001</v>
      </c>
      <c r="G69" s="118">
        <v>14.067655</v>
      </c>
      <c r="H69" s="118">
        <v>11.892451899999999</v>
      </c>
      <c r="I69" s="118">
        <v>9.7051356999999996</v>
      </c>
      <c r="J69" s="118">
        <v>13.5214683</v>
      </c>
      <c r="K69" s="118">
        <v>206.05119999999999</v>
      </c>
      <c r="L69" s="120">
        <v>225</v>
      </c>
      <c r="M69" s="118">
        <v>50</v>
      </c>
      <c r="N69" s="118">
        <v>50</v>
      </c>
      <c r="O69" s="118">
        <v>0.40293170600000128</v>
      </c>
      <c r="P69" s="118">
        <v>0.40293170600000128</v>
      </c>
      <c r="Q69" s="118">
        <v>0.40293170600000128</v>
      </c>
      <c r="R69" s="118">
        <v>0.40293170600000128</v>
      </c>
    </row>
    <row r="70" spans="1:20" x14ac:dyDescent="0.25">
      <c r="A70" s="113">
        <v>19</v>
      </c>
      <c r="B70" s="114" t="s">
        <v>144</v>
      </c>
      <c r="C70" s="117">
        <v>0</v>
      </c>
      <c r="D70" s="117">
        <v>0.76750300000000005</v>
      </c>
      <c r="E70" s="118">
        <v>1.2029524999999999</v>
      </c>
      <c r="F70" s="118">
        <v>0.75648369999999998</v>
      </c>
      <c r="G70" s="118">
        <f>6.3691803+26.93</f>
        <v>33.299180300000003</v>
      </c>
      <c r="H70" s="118">
        <v>8.3835353999999995</v>
      </c>
      <c r="I70" s="118">
        <v>57.913178070000008</v>
      </c>
      <c r="J70" s="118">
        <v>55.302664365604421</v>
      </c>
      <c r="K70" s="118">
        <f>0.7749887+8.74117119294637+0.9309+5.4367</f>
        <v>15.883759892946369</v>
      </c>
      <c r="L70" s="120">
        <f>L27*2</f>
        <v>53.817593305584133</v>
      </c>
      <c r="M70" s="120">
        <f>M27*1.2</f>
        <v>35.519611581685531</v>
      </c>
      <c r="N70" s="120">
        <f t="shared" ref="N70:R70" si="22">N27*1.2</f>
        <v>39.071572739854084</v>
      </c>
      <c r="O70" s="120">
        <f t="shared" si="22"/>
        <v>42.978730013839495</v>
      </c>
      <c r="P70" s="120">
        <f t="shared" si="22"/>
        <v>47.276603015223451</v>
      </c>
      <c r="Q70" s="120">
        <f t="shared" si="22"/>
        <v>52.004263316745806</v>
      </c>
      <c r="R70" s="120">
        <f t="shared" si="22"/>
        <v>57.204689648420391</v>
      </c>
    </row>
    <row r="71" spans="1:20" x14ac:dyDescent="0.25">
      <c r="A71" s="113"/>
      <c r="B71" s="112" t="s">
        <v>145</v>
      </c>
      <c r="C71" s="115">
        <f t="shared" ref="C71:R71" si="23">SUM(C61:C70)</f>
        <v>105.544448</v>
      </c>
      <c r="D71" s="115">
        <f t="shared" si="23"/>
        <v>150.49513993800005</v>
      </c>
      <c r="E71" s="115">
        <f t="shared" si="23"/>
        <v>174.19267429999999</v>
      </c>
      <c r="F71" s="115">
        <f t="shared" si="23"/>
        <v>248.73449588999998</v>
      </c>
      <c r="G71" s="115">
        <f t="shared" si="23"/>
        <v>388.00079777474599</v>
      </c>
      <c r="H71" s="115">
        <f t="shared" si="23"/>
        <v>610.96142970000005</v>
      </c>
      <c r="I71" s="115">
        <f t="shared" si="23"/>
        <v>690.50803746999986</v>
      </c>
      <c r="J71" s="115">
        <f t="shared" si="23"/>
        <v>1021.5986930346044</v>
      </c>
      <c r="K71" s="115">
        <f t="shared" si="23"/>
        <v>2225.3506598929462</v>
      </c>
      <c r="L71" s="116">
        <f t="shared" si="23"/>
        <v>2295.5476643455845</v>
      </c>
      <c r="M71" s="115">
        <f t="shared" si="23"/>
        <v>2639.877775917686</v>
      </c>
      <c r="N71" s="115">
        <f t="shared" si="23"/>
        <v>2919.8384390430547</v>
      </c>
      <c r="O71" s="115">
        <f t="shared" si="23"/>
        <v>3267.9213047839589</v>
      </c>
      <c r="P71" s="115">
        <f t="shared" si="23"/>
        <v>3210.7852034135253</v>
      </c>
      <c r="Q71" s="115">
        <f t="shared" si="23"/>
        <v>3780.5663378026429</v>
      </c>
      <c r="R71" s="115">
        <f t="shared" si="23"/>
        <v>4489.5901826977497</v>
      </c>
    </row>
    <row r="72" spans="1:20" x14ac:dyDescent="0.25">
      <c r="A72" s="113"/>
      <c r="B72" s="112"/>
      <c r="C72" s="121"/>
      <c r="D72" s="121"/>
      <c r="E72" s="118"/>
      <c r="F72" s="118"/>
      <c r="G72" s="118"/>
      <c r="H72" s="118"/>
      <c r="I72" s="118"/>
      <c r="J72" s="118"/>
      <c r="K72" s="118"/>
      <c r="L72" s="120"/>
      <c r="M72" s="118"/>
      <c r="N72" s="118"/>
      <c r="O72" s="118"/>
      <c r="P72" s="118"/>
      <c r="Q72" s="118"/>
      <c r="R72" s="118"/>
    </row>
    <row r="73" spans="1:20" x14ac:dyDescent="0.25">
      <c r="A73" s="113"/>
      <c r="B73" s="112" t="s">
        <v>146</v>
      </c>
      <c r="C73" s="115">
        <f t="shared" ref="C73:R73" si="24">C71+C59+C47+C48</f>
        <v>201.52720099999999</v>
      </c>
      <c r="D73" s="115">
        <f t="shared" si="24"/>
        <v>314.71535078600004</v>
      </c>
      <c r="E73" s="115">
        <f t="shared" si="24"/>
        <v>386.50172679999997</v>
      </c>
      <c r="F73" s="115">
        <f t="shared" si="24"/>
        <v>525.17881327346674</v>
      </c>
      <c r="G73" s="115">
        <f t="shared" si="24"/>
        <v>775.52149987474593</v>
      </c>
      <c r="H73" s="115">
        <f t="shared" si="24"/>
        <v>1137.4360437600001</v>
      </c>
      <c r="I73" s="115">
        <f t="shared" si="24"/>
        <v>1221.0004990279997</v>
      </c>
      <c r="J73" s="115">
        <f t="shared" si="24"/>
        <v>1993.1498225966043</v>
      </c>
      <c r="K73" s="115">
        <f t="shared" si="24"/>
        <v>3644.0348048637052</v>
      </c>
      <c r="L73" s="116">
        <f t="shared" si="24"/>
        <v>3780.2576490553179</v>
      </c>
      <c r="M73" s="115">
        <f t="shared" si="24"/>
        <v>4307.8830068201105</v>
      </c>
      <c r="N73" s="115">
        <f t="shared" si="24"/>
        <v>5002.2720804726014</v>
      </c>
      <c r="O73" s="115">
        <f t="shared" si="24"/>
        <v>6057.7834394125803</v>
      </c>
      <c r="P73" s="115">
        <f t="shared" si="24"/>
        <v>6568.260519603622</v>
      </c>
      <c r="Q73" s="115">
        <f t="shared" si="24"/>
        <v>7667.9184358723505</v>
      </c>
      <c r="R73" s="115">
        <f t="shared" si="24"/>
        <v>9005.039431568799</v>
      </c>
      <c r="S73" s="89"/>
      <c r="T73" s="89"/>
    </row>
    <row r="76" spans="1:20" x14ac:dyDescent="0.25">
      <c r="J76" s="96"/>
      <c r="K76" s="96"/>
      <c r="L76" s="96"/>
      <c r="M76" s="96"/>
      <c r="N76" s="96"/>
      <c r="O76" s="96"/>
      <c r="P76" s="96"/>
      <c r="Q76" s="96"/>
      <c r="R76" s="96"/>
    </row>
    <row r="77" spans="1:20" x14ac:dyDescent="0.25">
      <c r="J77" s="89"/>
      <c r="K77" s="89"/>
      <c r="L77" s="89"/>
      <c r="M77" s="89"/>
      <c r="N77" s="89"/>
      <c r="O77" s="89"/>
      <c r="P77" s="89"/>
      <c r="Q77" s="89"/>
      <c r="R77" s="89"/>
    </row>
    <row r="78" spans="1:20" x14ac:dyDescent="0.25">
      <c r="J78" s="89"/>
      <c r="K78" s="89"/>
      <c r="L78" s="89"/>
      <c r="M78" s="89"/>
      <c r="N78" s="89"/>
      <c r="O78" s="89"/>
      <c r="P78" s="89"/>
      <c r="Q78" s="89"/>
      <c r="R78" s="89"/>
    </row>
    <row r="80" spans="1:20" x14ac:dyDescent="0.25">
      <c r="J80" s="124"/>
      <c r="K80" s="124"/>
      <c r="L80" s="124"/>
      <c r="M80" s="124"/>
      <c r="N80" s="124"/>
      <c r="O80" s="124"/>
      <c r="P80" s="124"/>
      <c r="Q80" s="124"/>
      <c r="R80" s="124"/>
    </row>
    <row r="81" spans="10:18" x14ac:dyDescent="0.25">
      <c r="J81" s="124"/>
      <c r="K81" s="124"/>
      <c r="L81" s="124"/>
      <c r="M81" s="124"/>
      <c r="N81" s="124"/>
      <c r="O81" s="124"/>
      <c r="P81" s="124"/>
      <c r="Q81" s="124"/>
      <c r="R81" s="124"/>
    </row>
    <row r="82" spans="10:18" x14ac:dyDescent="0.25">
      <c r="J82" s="124"/>
      <c r="K82" s="124"/>
      <c r="L82" s="124"/>
      <c r="M82" s="124"/>
      <c r="N82" s="124"/>
      <c r="O82" s="124"/>
      <c r="P82" s="124"/>
      <c r="Q82" s="124"/>
      <c r="R82" s="124"/>
    </row>
    <row r="85" spans="10:18" x14ac:dyDescent="0.25">
      <c r="J85" s="89"/>
      <c r="K85" s="89"/>
      <c r="L85" s="89"/>
      <c r="M85" s="89"/>
      <c r="N85" s="89"/>
      <c r="O85" s="89"/>
      <c r="P85" s="89"/>
      <c r="Q85" s="89"/>
      <c r="R85" s="89"/>
    </row>
    <row r="86" spans="10:18" x14ac:dyDescent="0.25">
      <c r="L86" s="95"/>
      <c r="M86" s="95"/>
      <c r="N86" s="95"/>
      <c r="O86" s="95"/>
      <c r="P86" s="95"/>
      <c r="Q86" s="95"/>
      <c r="R86" s="95"/>
    </row>
    <row r="87" spans="10:18" x14ac:dyDescent="0.25">
      <c r="J87" s="95"/>
      <c r="K87" s="95"/>
      <c r="L87" s="95"/>
      <c r="M87" s="95"/>
      <c r="N87" s="95"/>
      <c r="O87" s="95"/>
      <c r="P87" s="95"/>
      <c r="Q87" s="95"/>
      <c r="R87" s="95"/>
    </row>
    <row r="88" spans="10:18" x14ac:dyDescent="0.25">
      <c r="K88" s="95"/>
      <c r="L88" s="95"/>
      <c r="M88" s="95"/>
      <c r="N88" s="95"/>
      <c r="O88" s="95"/>
      <c r="P88" s="95"/>
      <c r="Q88" s="95"/>
      <c r="R88" s="95"/>
    </row>
    <row r="89" spans="10:18" x14ac:dyDescent="0.25">
      <c r="L89" s="95"/>
      <c r="M89" s="95"/>
      <c r="N89" s="95"/>
      <c r="O89" s="95"/>
      <c r="P89" s="95"/>
      <c r="Q89" s="95"/>
      <c r="R89" s="95"/>
    </row>
    <row r="91" spans="10:18" x14ac:dyDescent="0.25">
      <c r="K91" s="89"/>
      <c r="L91" s="89"/>
      <c r="M91" s="89"/>
      <c r="N91" s="89"/>
      <c r="O91" s="89"/>
      <c r="P91" s="89"/>
      <c r="Q91" s="89"/>
      <c r="R91" s="89"/>
    </row>
    <row r="92" spans="10:18" x14ac:dyDescent="0.25">
      <c r="K92" s="89"/>
      <c r="L92" s="89"/>
      <c r="M92" s="89"/>
      <c r="N92" s="89"/>
      <c r="O92" s="89"/>
      <c r="P92" s="89"/>
      <c r="Q92" s="89"/>
      <c r="R92" s="89"/>
    </row>
    <row r="93" spans="10:18" x14ac:dyDescent="0.25">
      <c r="K93" s="89"/>
      <c r="L93" s="89"/>
      <c r="M93" s="89"/>
      <c r="N93" s="89"/>
      <c r="O93" s="89"/>
      <c r="P93" s="89"/>
      <c r="Q93" s="89"/>
      <c r="R93" s="89"/>
    </row>
    <row r="94" spans="10:18" x14ac:dyDescent="0.25">
      <c r="K94" s="95"/>
      <c r="L94" s="95"/>
      <c r="M94" s="95"/>
      <c r="N94" s="95"/>
      <c r="O94" s="95"/>
      <c r="P94" s="95"/>
      <c r="Q94" s="95"/>
      <c r="R94" s="95"/>
    </row>
    <row r="96" spans="10:18" x14ac:dyDescent="0.25">
      <c r="K96" s="89"/>
      <c r="L96" s="89"/>
      <c r="M96" s="89"/>
      <c r="N96" s="89"/>
      <c r="O96" s="89"/>
      <c r="P96" s="89"/>
      <c r="Q96" s="89"/>
      <c r="R96" s="89"/>
    </row>
    <row r="97" spans="9:18" x14ac:dyDescent="0.25">
      <c r="I97" s="89"/>
      <c r="J97" s="89"/>
      <c r="K97" s="89"/>
      <c r="L97" s="89"/>
      <c r="M97" s="89"/>
      <c r="N97" s="89"/>
      <c r="O97" s="89"/>
      <c r="P97" s="89"/>
      <c r="Q97" s="89"/>
      <c r="R97" s="89"/>
    </row>
    <row r="98" spans="9:18" x14ac:dyDescent="0.25">
      <c r="I98" s="89"/>
      <c r="J98" s="89"/>
      <c r="K98" s="89"/>
      <c r="L98" s="89"/>
      <c r="M98" s="89"/>
      <c r="N98" s="89"/>
      <c r="O98" s="89"/>
      <c r="P98" s="89"/>
      <c r="Q98" s="89"/>
      <c r="R98" s="89"/>
    </row>
    <row r="99" spans="9:18" x14ac:dyDescent="0.25">
      <c r="I99" s="96"/>
      <c r="J99" s="96"/>
      <c r="K99" s="96"/>
      <c r="L99" s="96"/>
      <c r="M99" s="96"/>
      <c r="N99" s="96"/>
      <c r="O99" s="96"/>
      <c r="P99" s="96"/>
      <c r="Q99" s="96"/>
      <c r="R99" s="96"/>
    </row>
    <row r="100" spans="9:18" x14ac:dyDescent="0.25">
      <c r="K100" s="89"/>
      <c r="L100" s="89"/>
      <c r="M100" s="89"/>
      <c r="N100" s="89"/>
      <c r="O100" s="89"/>
      <c r="P100" s="89"/>
      <c r="Q100" s="89"/>
      <c r="R100" s="89"/>
    </row>
    <row r="101" spans="9:18" x14ac:dyDescent="0.25">
      <c r="I101" s="89"/>
      <c r="J101" s="89"/>
      <c r="K101" s="89"/>
      <c r="L101" s="89"/>
      <c r="M101" s="89"/>
      <c r="N101" s="89"/>
      <c r="O101" s="89"/>
      <c r="P101" s="89"/>
      <c r="Q101" s="89"/>
      <c r="R101" s="89"/>
    </row>
    <row r="102" spans="9:18" x14ac:dyDescent="0.25">
      <c r="K102" s="89"/>
      <c r="L102" s="89"/>
      <c r="M102" s="89"/>
      <c r="N102" s="89"/>
      <c r="O102" s="89"/>
      <c r="P102" s="89"/>
      <c r="Q102" s="89"/>
      <c r="R102" s="89"/>
    </row>
    <row r="103" spans="9:18" x14ac:dyDescent="0.25">
      <c r="J103" s="89"/>
      <c r="K103" s="89"/>
      <c r="L103" s="89"/>
      <c r="M103" s="89"/>
      <c r="N103" s="89"/>
      <c r="O103" s="89"/>
      <c r="P103" s="89"/>
      <c r="Q103" s="89"/>
      <c r="R103" s="89"/>
    </row>
    <row r="105" spans="9:18" x14ac:dyDescent="0.25">
      <c r="J105" s="125"/>
      <c r="K105" s="125"/>
      <c r="L105" s="125"/>
      <c r="M105" s="125"/>
      <c r="N105" s="125"/>
      <c r="O105" s="125"/>
      <c r="P105" s="125"/>
      <c r="Q105" s="125"/>
      <c r="R105" s="125"/>
    </row>
    <row r="106" spans="9:18" x14ac:dyDescent="0.25">
      <c r="J106" s="126"/>
      <c r="K106" s="127"/>
      <c r="L106" s="127"/>
      <c r="M106" s="127"/>
      <c r="N106" s="127"/>
      <c r="O106" s="127"/>
      <c r="P106" s="127"/>
      <c r="Q106" s="127"/>
      <c r="R106" s="127"/>
    </row>
    <row r="107" spans="9:18" x14ac:dyDescent="0.25">
      <c r="J107" s="89"/>
      <c r="K107" s="89"/>
      <c r="L107" s="89"/>
      <c r="M107" s="89"/>
      <c r="N107" s="89"/>
      <c r="O107" s="89"/>
      <c r="P107" s="89"/>
      <c r="Q107" s="89"/>
      <c r="R107" s="89"/>
    </row>
    <row r="108" spans="9:18" x14ac:dyDescent="0.25">
      <c r="K108" s="95"/>
      <c r="L108" s="95"/>
    </row>
    <row r="109" spans="9:18" x14ac:dyDescent="0.25">
      <c r="K109" s="89"/>
      <c r="L109" s="89"/>
      <c r="M109" s="89"/>
      <c r="N109" s="89"/>
      <c r="O109" s="89"/>
      <c r="P109" s="89"/>
      <c r="Q109" s="89"/>
      <c r="R109" s="89"/>
    </row>
    <row r="111" spans="9:18" x14ac:dyDescent="0.25">
      <c r="J111" s="89"/>
      <c r="K111" s="89"/>
      <c r="L111" s="89"/>
      <c r="M111" s="89"/>
      <c r="N111" s="89"/>
      <c r="O111" s="89"/>
      <c r="P111" s="89"/>
      <c r="Q111" s="89"/>
      <c r="R111" s="89"/>
    </row>
    <row r="112" spans="9:18" x14ac:dyDescent="0.25">
      <c r="L112" s="48"/>
    </row>
    <row r="113" spans="10:18" x14ac:dyDescent="0.25">
      <c r="L113" s="48"/>
    </row>
    <row r="114" spans="10:18" x14ac:dyDescent="0.25">
      <c r="J114" s="89"/>
      <c r="K114" s="89"/>
      <c r="L114" s="89"/>
      <c r="M114" s="89"/>
      <c r="N114" s="89"/>
      <c r="O114" s="89"/>
      <c r="P114" s="89"/>
      <c r="Q114" s="89"/>
      <c r="R114" s="89"/>
    </row>
    <row r="115" spans="10:18" x14ac:dyDescent="0.25">
      <c r="J115" s="89"/>
      <c r="K115" s="89"/>
      <c r="L115" s="89"/>
      <c r="M115" s="89"/>
      <c r="N115" s="89"/>
      <c r="O115" s="89"/>
      <c r="P115" s="89"/>
      <c r="Q115" s="89"/>
      <c r="R115" s="89"/>
    </row>
    <row r="117" spans="10:18" x14ac:dyDescent="0.25">
      <c r="J117" s="89"/>
      <c r="K117" s="89"/>
      <c r="L117" s="89"/>
      <c r="M117" s="89"/>
      <c r="N117" s="89"/>
      <c r="O117" s="89"/>
      <c r="P117" s="89"/>
      <c r="Q117" s="89"/>
      <c r="R117" s="89"/>
    </row>
    <row r="118" spans="10:18" x14ac:dyDescent="0.25">
      <c r="L118" s="87"/>
      <c r="M118" s="87"/>
      <c r="N118" s="87"/>
      <c r="O118" s="87"/>
      <c r="P118" s="87"/>
      <c r="Q118" s="87"/>
      <c r="R118" s="87"/>
    </row>
    <row r="122" spans="10:18" x14ac:dyDescent="0.25">
      <c r="K122" s="96"/>
    </row>
    <row r="124" spans="10:18" x14ac:dyDescent="0.25">
      <c r="M124" s="90"/>
    </row>
  </sheetData>
  <pageMargins left="0.7" right="0.7" top="0.75" bottom="0.75" header="0.3" footer="0.3"/>
  <pageSetup paperSize="9" scale="55" orientation="portrait" r:id="rId1"/>
  <headerFooter>
    <oddFooter>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zoomScale="90" zoomScaleNormal="90" workbookViewId="0">
      <pane xSplit="2" ySplit="3" topLeftCell="C4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ColWidth="8.85546875" defaultRowHeight="15" x14ac:dyDescent="0.25"/>
  <cols>
    <col min="1" max="1" width="56.85546875" style="128" customWidth="1"/>
    <col min="2" max="2" width="0" style="128" hidden="1" customWidth="1"/>
    <col min="3" max="3" width="11.42578125" style="128" customWidth="1"/>
    <col min="4" max="5" width="11.42578125" style="129" customWidth="1"/>
    <col min="6" max="11" width="11.42578125" style="128" customWidth="1"/>
    <col min="12" max="16384" width="8.85546875" style="128"/>
  </cols>
  <sheetData>
    <row r="1" spans="1:11" x14ac:dyDescent="0.25">
      <c r="K1" s="128" t="s">
        <v>147</v>
      </c>
    </row>
    <row r="2" spans="1:11" x14ac:dyDescent="0.25">
      <c r="A2" s="128" t="s">
        <v>70</v>
      </c>
      <c r="C2" s="130" t="str">
        <f>+'BS '!J7</f>
        <v>2018-19</v>
      </c>
      <c r="D2" s="131" t="str">
        <f>+'BS '!K7</f>
        <v>2019-20</v>
      </c>
      <c r="E2" s="131" t="str">
        <f>+'BS '!L7</f>
        <v>2020-21</v>
      </c>
      <c r="F2" s="130" t="str">
        <f>+'BS '!M7</f>
        <v>2021-22</v>
      </c>
      <c r="G2" s="130" t="str">
        <f>+'BS '!N7</f>
        <v>2022-23</v>
      </c>
      <c r="H2" s="130" t="str">
        <f>+'BS '!O7</f>
        <v>2023-24</v>
      </c>
      <c r="I2" s="130" t="str">
        <f>+'BS '!P7</f>
        <v>2024-25</v>
      </c>
      <c r="J2" s="130" t="str">
        <f>+'BS '!Q7</f>
        <v>2025-26</v>
      </c>
      <c r="K2" s="130" t="str">
        <f>+'BS '!R7</f>
        <v>2026-27</v>
      </c>
    </row>
    <row r="3" spans="1:11" x14ac:dyDescent="0.25">
      <c r="C3" s="130" t="s">
        <v>11</v>
      </c>
      <c r="D3" s="131" t="s">
        <v>11</v>
      </c>
      <c r="E3" s="131" t="s">
        <v>12</v>
      </c>
      <c r="F3" s="130" t="s">
        <v>12</v>
      </c>
      <c r="G3" s="130" t="s">
        <v>12</v>
      </c>
      <c r="H3" s="130" t="s">
        <v>12</v>
      </c>
      <c r="I3" s="130" t="s">
        <v>12</v>
      </c>
      <c r="J3" s="130" t="s">
        <v>12</v>
      </c>
      <c r="K3" s="130" t="s">
        <v>12</v>
      </c>
    </row>
    <row r="4" spans="1:11" x14ac:dyDescent="0.25">
      <c r="A4" s="128" t="s">
        <v>148</v>
      </c>
    </row>
    <row r="5" spans="1:11" x14ac:dyDescent="0.25">
      <c r="A5" s="128" t="s">
        <v>149</v>
      </c>
      <c r="C5" s="132">
        <f>+'P&amp;L'!J30</f>
        <v>75.491033307887207</v>
      </c>
      <c r="D5" s="132">
        <f>+'P&amp;L'!K30</f>
        <v>105.50468418000014</v>
      </c>
      <c r="E5" s="132">
        <f>+'P&amp;L'!L30</f>
        <v>120.22786303994197</v>
      </c>
      <c r="F5" s="132">
        <f>+'P&amp;L'!M30</f>
        <v>173.10669562040931</v>
      </c>
      <c r="G5" s="132">
        <f>+'P&amp;L'!N30</f>
        <v>220.79905815817375</v>
      </c>
      <c r="H5" s="132">
        <f>+'P&amp;L'!O30</f>
        <v>279.892591572284</v>
      </c>
      <c r="I5" s="132">
        <f>+'P&amp;L'!P30</f>
        <v>350.55106153461816</v>
      </c>
      <c r="J5" s="132">
        <f>+'P&amp;L'!Q30</f>
        <v>415.62675370048328</v>
      </c>
      <c r="K5" s="132">
        <f>+'P&amp;L'!R30</f>
        <v>508.37908274831511</v>
      </c>
    </row>
    <row r="6" spans="1:11" x14ac:dyDescent="0.25">
      <c r="A6" s="128" t="s">
        <v>150</v>
      </c>
      <c r="C6" s="132"/>
      <c r="D6" s="133"/>
      <c r="E6" s="133"/>
      <c r="F6" s="132"/>
      <c r="G6" s="132"/>
      <c r="H6" s="132"/>
      <c r="I6" s="132"/>
      <c r="J6" s="132"/>
      <c r="K6" s="132"/>
    </row>
    <row r="7" spans="1:11" x14ac:dyDescent="0.25">
      <c r="A7" s="128" t="s">
        <v>151</v>
      </c>
      <c r="C7" s="132">
        <f>+'P&amp;L'!J24</f>
        <v>3.2124974909153625</v>
      </c>
      <c r="D7" s="130">
        <f>+'P&amp;L'!K24</f>
        <v>8.1753</v>
      </c>
      <c r="E7" s="132">
        <f>+'P&amp;L'!L24</f>
        <v>8.2855813548189943</v>
      </c>
      <c r="F7" s="132">
        <f>+'P&amp;L'!M24</f>
        <v>8.6105813548189971</v>
      </c>
      <c r="G7" s="132">
        <f>+'P&amp;L'!N24</f>
        <v>9.195581354818998</v>
      </c>
      <c r="H7" s="132">
        <f>+'P&amp;L'!O24</f>
        <v>9.8455813548189965</v>
      </c>
      <c r="I7" s="132">
        <f>+'P&amp;L'!P24</f>
        <v>10.560581354818993</v>
      </c>
      <c r="J7" s="132">
        <f>+'P&amp;L'!Q24</f>
        <v>11.340581354818994</v>
      </c>
      <c r="K7" s="132">
        <f>+'P&amp;L'!R24</f>
        <v>12.185581354818993</v>
      </c>
    </row>
    <row r="8" spans="1:11" x14ac:dyDescent="0.25">
      <c r="A8" s="128" t="s">
        <v>152</v>
      </c>
      <c r="C8" s="132">
        <f>+('BS '!J24+'BS '!J25+'BS '!J37)-('BS '!I24+'BS '!I25+'BS '!I37)</f>
        <v>3.525033434900001</v>
      </c>
      <c r="D8" s="133">
        <f>+('BS '!K24+'BS '!K25+'BS '!K37)-('BS '!J24+'BS '!J25+'BS '!J37)</f>
        <v>110.1642408651</v>
      </c>
      <c r="E8" s="132">
        <f>+('BS '!L24+'BS '!L25+'BS '!L37)-('BS '!K24+'BS '!K25+'BS '!K37)</f>
        <v>39.675819888099895</v>
      </c>
      <c r="F8" s="132">
        <f>+('BS '!M24+'BS '!M25+'BS '!M37)-('BS '!L24+'BS '!L25+'BS '!L37)</f>
        <v>35.063032130213173</v>
      </c>
      <c r="G8" s="132">
        <f>+('BS '!N24+'BS '!N25+'BS '!N37)-('BS '!M24+'BS '!M25+'BS '!M37)</f>
        <v>23.88448718015664</v>
      </c>
      <c r="H8" s="132">
        <f>+('BS '!O24+'BS '!O25+'BS '!O37)-('BS '!N24+'BS '!N25+'BS '!N37)</f>
        <v>32.708252510446727</v>
      </c>
      <c r="I8" s="132">
        <f>+('BS '!P24+'BS '!P25+'BS '!P37)-('BS '!O24+'BS '!O25+'BS '!O37)</f>
        <v>19.029488033815028</v>
      </c>
      <c r="J8" s="132">
        <f>+('BS '!Q24+'BS '!Q25+'BS '!Q37)-('BS '!P24+'BS '!P25+'BS '!P37)</f>
        <v>25.576689838686889</v>
      </c>
      <c r="K8" s="132">
        <f>+('BS '!R24+'BS '!R25+'BS '!R37)-('BS '!Q24+'BS '!Q25+'BS '!Q37)</f>
        <v>31.919243647192729</v>
      </c>
    </row>
    <row r="9" spans="1:11" x14ac:dyDescent="0.25">
      <c r="A9" s="128" t="s">
        <v>153</v>
      </c>
      <c r="C9" s="132"/>
      <c r="D9" s="133"/>
      <c r="E9" s="133"/>
      <c r="F9" s="132"/>
      <c r="G9" s="132"/>
      <c r="H9" s="132"/>
      <c r="I9" s="132"/>
      <c r="J9" s="132"/>
      <c r="K9" s="132"/>
    </row>
    <row r="10" spans="1:11" x14ac:dyDescent="0.25">
      <c r="A10" s="128" t="s">
        <v>154</v>
      </c>
      <c r="C10" s="132">
        <f>+'BS '!J39-'BS '!I39</f>
        <v>1.1157565</v>
      </c>
      <c r="D10" s="133">
        <f>+'BS '!K39-'BS '!J39</f>
        <v>-1.5779406</v>
      </c>
      <c r="E10" s="132">
        <f>+'BS '!L39-'BS '!K39</f>
        <v>0</v>
      </c>
      <c r="F10" s="132">
        <f>+'BS '!M39-'BS '!L39</f>
        <v>0</v>
      </c>
      <c r="G10" s="132">
        <f>+'BS '!N39-'BS '!M39</f>
        <v>0</v>
      </c>
      <c r="H10" s="132">
        <f>+'BS '!O39-'BS '!N39</f>
        <v>0</v>
      </c>
      <c r="I10" s="132">
        <f>+'BS '!P39-'BS '!O39</f>
        <v>0</v>
      </c>
      <c r="J10" s="132">
        <f>+'BS '!Q39-'BS '!P39</f>
        <v>0</v>
      </c>
      <c r="K10" s="132">
        <f>+'BS '!R39-'BS '!Q39</f>
        <v>0</v>
      </c>
    </row>
    <row r="11" spans="1:11" x14ac:dyDescent="0.25">
      <c r="C11" s="132"/>
      <c r="D11" s="133"/>
      <c r="E11" s="133"/>
      <c r="F11" s="132"/>
      <c r="G11" s="132"/>
      <c r="H11" s="132"/>
      <c r="I11" s="132"/>
      <c r="J11" s="132"/>
      <c r="K11" s="132"/>
    </row>
    <row r="12" spans="1:11" x14ac:dyDescent="0.25">
      <c r="A12" s="134" t="s">
        <v>155</v>
      </c>
      <c r="B12" s="134"/>
      <c r="C12" s="135">
        <f>SUM(C5:C11)</f>
        <v>83.344320733702574</v>
      </c>
      <c r="D12" s="136">
        <f t="shared" ref="D12:K12" si="0">SUM(D5:D11)</f>
        <v>222.26628444510013</v>
      </c>
      <c r="E12" s="135">
        <f t="shared" si="0"/>
        <v>168.18926428286085</v>
      </c>
      <c r="F12" s="135">
        <f t="shared" si="0"/>
        <v>216.78030910544149</v>
      </c>
      <c r="G12" s="135">
        <f t="shared" si="0"/>
        <v>253.8791266931494</v>
      </c>
      <c r="H12" s="135">
        <f t="shared" si="0"/>
        <v>322.44642543754969</v>
      </c>
      <c r="I12" s="135">
        <f t="shared" si="0"/>
        <v>380.14113092325215</v>
      </c>
      <c r="J12" s="135">
        <f t="shared" si="0"/>
        <v>452.54402489398916</v>
      </c>
      <c r="K12" s="135">
        <f t="shared" si="0"/>
        <v>552.48390775032681</v>
      </c>
    </row>
    <row r="13" spans="1:11" x14ac:dyDescent="0.25">
      <c r="C13" s="132"/>
      <c r="D13" s="133"/>
      <c r="E13" s="133"/>
      <c r="F13" s="132"/>
      <c r="G13" s="132"/>
      <c r="H13" s="132"/>
      <c r="I13" s="132"/>
      <c r="J13" s="132"/>
      <c r="K13" s="132"/>
    </row>
    <row r="14" spans="1:11" x14ac:dyDescent="0.25">
      <c r="A14" s="128" t="s">
        <v>156</v>
      </c>
      <c r="C14" s="132"/>
      <c r="D14" s="133"/>
      <c r="E14" s="133"/>
      <c r="F14" s="132"/>
      <c r="G14" s="132"/>
      <c r="H14" s="132"/>
      <c r="I14" s="132"/>
      <c r="J14" s="132"/>
      <c r="K14" s="132"/>
    </row>
    <row r="15" spans="1:11" x14ac:dyDescent="0.25">
      <c r="A15" s="128" t="s">
        <v>157</v>
      </c>
      <c r="C15" s="132">
        <f>-SUM('BS '!J53:J58)+SUM('BS '!I53:I58)</f>
        <v>-188.66468426799997</v>
      </c>
      <c r="D15" s="133">
        <f>-SUM('BS '!K53:K58)+SUM('BS '!J53:J58)</f>
        <v>-469.56188715761914</v>
      </c>
      <c r="E15" s="132">
        <f>-SUM('BS '!L53:L58)+SUM('BS '!K53:K58)</f>
        <v>-35.861330570101472</v>
      </c>
      <c r="F15" s="132">
        <f>-SUM('BS '!M53:M58)+SUM('BS '!L53:L58)</f>
        <v>-80.982525971792029</v>
      </c>
      <c r="G15" s="132">
        <f>-SUM('BS '!N53:N58)+SUM('BS '!M53:M58)</f>
        <v>-460.74152075547568</v>
      </c>
      <c r="H15" s="132">
        <f>-SUM('BS '!O53:O58)+SUM('BS '!N53:N58)</f>
        <v>-672.1605272098891</v>
      </c>
      <c r="I15" s="132">
        <f>-SUM('BS '!P53:P58)+SUM('BS '!O53:O58)</f>
        <v>-468.81404304036823</v>
      </c>
      <c r="J15" s="132">
        <f>-SUM('BS '!Q53:Q58)+SUM('BS '!P53:P58)</f>
        <v>-504.05347901182313</v>
      </c>
      <c r="K15" s="132">
        <f>-SUM('BS '!R53:R58)+SUM('BS '!Q53:Q58)</f>
        <v>-627.26203458993314</v>
      </c>
    </row>
    <row r="16" spans="1:11" x14ac:dyDescent="0.25">
      <c r="A16" s="128" t="s">
        <v>158</v>
      </c>
      <c r="C16" s="132">
        <f>-SUM('BS '!J61:J64,'BS '!J66:J68,'BS '!J70)+SUM('BS '!I61:I64,'BS '!I66:I68,'BS '!I70)</f>
        <v>-327.0551030646044</v>
      </c>
      <c r="D16" s="133">
        <f>-SUM('BS '!K61:K64,'BS '!K66:K68,'BS '!K70)+SUM('BS '!J61:J64,'BS '!J66:J68,'BS '!J70)</f>
        <v>-1012.0727686583418</v>
      </c>
      <c r="E16" s="132">
        <f>-SUM('BS '!L61:L64,'BS '!L66:L68,'BS '!L70)+SUM('BS '!K61:K64,'BS '!K66:K68,'BS '!K70)</f>
        <v>-51.243204452638338</v>
      </c>
      <c r="F16" s="132">
        <f>-SUM('BS '!M61:M64,'BS '!M66:M68,'BS '!M70)+SUM('BS '!L61:L64,'BS '!L66:L68,'BS '!L70)</f>
        <v>-519.33011157210149</v>
      </c>
      <c r="G16" s="132">
        <f>-SUM('BS '!N61:N64,'BS '!N66:N68,'BS '!N70)+SUM('BS '!M61:M64,'BS '!M66:M68,'BS '!M70)</f>
        <v>-279.95066312536846</v>
      </c>
      <c r="H16" s="132">
        <f>-SUM('BS '!O61:O64,'BS '!O66:O68,'BS '!O70)+SUM('BS '!N61:N64,'BS '!N66:N68,'BS '!N70)</f>
        <v>-397.67993403490482</v>
      </c>
      <c r="I16" s="132">
        <f>-SUM('BS '!P61:P64,'BS '!P66:P68,'BS '!P70)+SUM('BS '!O61:O64,'BS '!O66:O68,'BS '!O70)</f>
        <v>57.136101370433607</v>
      </c>
      <c r="J16" s="132">
        <f>-SUM('BS '!Q61:Q64,'BS '!Q66:Q68,'BS '!Q70)+SUM('BS '!P61:P64,'BS '!P66:P68,'BS '!P70)</f>
        <v>-569.78113438911714</v>
      </c>
      <c r="K16" s="132">
        <f>-SUM('BS '!R61:R64,'BS '!R66:R68,'BS '!R70)+SUM('BS '!Q61:Q64,'BS '!Q66:Q68,'BS '!Q70)</f>
        <v>-709.02384489510632</v>
      </c>
    </row>
    <row r="17" spans="1:11" x14ac:dyDescent="0.25">
      <c r="A17" s="128" t="s">
        <v>159</v>
      </c>
      <c r="C17" s="132">
        <f>SUM('BS '!J26,'BS '!J33:J36,'BS '!J40)-SUM('BS '!I26,'BS '!I33:I36,'BS '!I40)</f>
        <v>0.57232581796431248</v>
      </c>
      <c r="D17" s="133">
        <f>SUM('BS '!K26,'BS '!K33:K36,'BS '!K40)-SUM('BS '!J26,'BS '!J33:J36,'BS '!J40)</f>
        <v>-39.869295965887716</v>
      </c>
      <c r="E17" s="132">
        <f>SUM('BS '!L26,'BS '!L33:L36,'BS '!L40)-SUM('BS '!K26,'BS '!K33:K36,'BS '!K40)</f>
        <v>36.480160094748413</v>
      </c>
      <c r="F17" s="132">
        <f>SUM('BS '!M26,'BS '!M33:M36,'BS '!M40)-SUM('BS '!L26,'BS '!L33:L36,'BS '!L40)</f>
        <v>5.9301586572764649</v>
      </c>
      <c r="G17" s="132">
        <f>SUM('BS '!N26,'BS '!N33:N36,'BS '!N40)-SUM('BS '!M26,'BS '!M33:M36,'BS '!M40)</f>
        <v>6.4418366168304999</v>
      </c>
      <c r="H17" s="132">
        <f>SUM('BS '!O26,'BS '!O33:O36,'BS '!O40)-SUM('BS '!N26,'BS '!N33:N36,'BS '!N40)</f>
        <v>7.1630147029886615</v>
      </c>
      <c r="I17" s="132">
        <f>SUM('BS '!P26,'BS '!P33:P36,'BS '!P40)-SUM('BS '!O26,'BS '!O33:O36,'BS '!O40)</f>
        <v>6.766864656072741</v>
      </c>
      <c r="J17" s="132">
        <f>SUM('BS '!Q26,'BS '!Q33:Q36,'BS '!Q40)-SUM('BS '!P26,'BS '!P33:P36,'BS '!P40)</f>
        <v>7.4648428454396907</v>
      </c>
      <c r="K17" s="132">
        <f>SUM('BS '!R26,'BS '!R33:R36,'BS '!R40)-SUM('BS '!Q26,'BS '!Q33:Q36,'BS '!Q40)</f>
        <v>8.225841217306197</v>
      </c>
    </row>
    <row r="18" spans="1:11" x14ac:dyDescent="0.25">
      <c r="A18" s="128" t="s">
        <v>160</v>
      </c>
      <c r="C18" s="132">
        <f>+('BS '!J38-'BS '!I38)-SUM('P&amp;L'!J31:J32)</f>
        <v>-26.617762978349997</v>
      </c>
      <c r="D18" s="133">
        <f>+('BS '!K38-'BS '!J38)-SUM('P&amp;L'!K31:K32)</f>
        <v>-24.012734200000004</v>
      </c>
      <c r="E18" s="132">
        <f>+('BS '!L38-'BS '!K38)-SUM('P&amp;L'!L31:L32)</f>
        <v>-33.278153127153402</v>
      </c>
      <c r="F18" s="132">
        <f>+('BS '!M38-'BS '!L38)-SUM('P&amp;L'!M31:M32)</f>
        <v>-43.570955287657029</v>
      </c>
      <c r="G18" s="132">
        <f>+('BS '!N38-'BS '!M38)-SUM('P&amp;L'!N31:N32)</f>
        <v>-55.575122938412342</v>
      </c>
      <c r="H18" s="132">
        <f>+('BS '!O38-'BS '!N38)-SUM('P&amp;L'!O31:O32)</f>
        <v>-70.4489652987439</v>
      </c>
      <c r="I18" s="132">
        <f>+('BS '!P38-'BS '!O38)-SUM('P&amp;L'!P31:P32)</f>
        <v>-88.233702188263408</v>
      </c>
      <c r="J18" s="132">
        <f>+('BS '!Q38-'BS '!P38)-SUM('P&amp;L'!Q31:Q32)</f>
        <v>-104.61325390641166</v>
      </c>
      <c r="K18" s="132">
        <f>+('BS '!R38-'BS '!Q38)-SUM('P&amp;L'!R31:R32)</f>
        <v>-127.95901512775093</v>
      </c>
    </row>
    <row r="19" spans="1:11" x14ac:dyDescent="0.25">
      <c r="C19" s="132"/>
      <c r="D19" s="133"/>
      <c r="E19" s="133"/>
      <c r="F19" s="132"/>
      <c r="G19" s="132"/>
      <c r="H19" s="132"/>
      <c r="I19" s="132"/>
      <c r="J19" s="132"/>
      <c r="K19" s="132"/>
    </row>
    <row r="20" spans="1:11" x14ac:dyDescent="0.25">
      <c r="A20" s="134" t="s">
        <v>161</v>
      </c>
      <c r="B20" s="134"/>
      <c r="C20" s="135">
        <f>+SUM(C12:C18)</f>
        <v>-458.42090375928746</v>
      </c>
      <c r="D20" s="136">
        <f t="shared" ref="D20" si="1">+SUM(D12:D18)</f>
        <v>-1323.2504015367485</v>
      </c>
      <c r="E20" s="136">
        <f t="shared" ref="E20:K20" si="2">+SUM(E12:E18)</f>
        <v>84.286736227716048</v>
      </c>
      <c r="F20" s="135">
        <f t="shared" si="2"/>
        <v>-421.17312506883263</v>
      </c>
      <c r="G20" s="135">
        <f t="shared" si="2"/>
        <v>-535.94634350927663</v>
      </c>
      <c r="H20" s="135">
        <f t="shared" si="2"/>
        <v>-810.67998640299948</v>
      </c>
      <c r="I20" s="135">
        <f t="shared" si="2"/>
        <v>-113.00364827887314</v>
      </c>
      <c r="J20" s="135">
        <f t="shared" si="2"/>
        <v>-718.43899956792302</v>
      </c>
      <c r="K20" s="135">
        <f t="shared" si="2"/>
        <v>-903.5351456451574</v>
      </c>
    </row>
    <row r="21" spans="1:11" x14ac:dyDescent="0.25">
      <c r="C21" s="132"/>
      <c r="D21" s="133"/>
      <c r="E21" s="133"/>
      <c r="F21" s="132"/>
      <c r="G21" s="132"/>
      <c r="H21" s="132"/>
      <c r="I21" s="132"/>
      <c r="J21" s="132"/>
      <c r="K21" s="132"/>
    </row>
    <row r="22" spans="1:11" x14ac:dyDescent="0.25">
      <c r="C22" s="132"/>
      <c r="D22" s="133"/>
      <c r="E22" s="133"/>
      <c r="F22" s="132"/>
      <c r="G22" s="132"/>
      <c r="H22" s="132"/>
      <c r="I22" s="132"/>
      <c r="J22" s="132"/>
      <c r="K22" s="132"/>
    </row>
    <row r="23" spans="1:11" x14ac:dyDescent="0.25">
      <c r="A23" s="128" t="s">
        <v>162</v>
      </c>
      <c r="C23" s="132"/>
      <c r="D23" s="133"/>
      <c r="E23" s="133"/>
      <c r="F23" s="132"/>
      <c r="G23" s="132"/>
      <c r="H23" s="132"/>
      <c r="I23" s="132"/>
      <c r="J23" s="132"/>
      <c r="K23" s="132"/>
    </row>
    <row r="24" spans="1:11" x14ac:dyDescent="0.25">
      <c r="C24" s="132"/>
      <c r="D24" s="133"/>
      <c r="E24" s="133"/>
      <c r="F24" s="132"/>
      <c r="G24" s="132"/>
      <c r="H24" s="132"/>
      <c r="I24" s="132"/>
      <c r="J24" s="132"/>
      <c r="K24" s="132"/>
    </row>
    <row r="25" spans="1:11" x14ac:dyDescent="0.25">
      <c r="A25" s="128" t="s">
        <v>163</v>
      </c>
      <c r="C25" s="132"/>
      <c r="D25" s="133"/>
      <c r="E25" s="133"/>
      <c r="F25" s="132"/>
      <c r="G25" s="132"/>
      <c r="H25" s="132"/>
      <c r="I25" s="132"/>
      <c r="J25" s="132"/>
      <c r="K25" s="132"/>
    </row>
    <row r="26" spans="1:11" x14ac:dyDescent="0.25">
      <c r="A26" s="128" t="s">
        <v>164</v>
      </c>
      <c r="C26" s="132">
        <f>-SUM('BS '!J45,'BS '!J48)+SUM('BS '!I45,'BS '!I48)</f>
        <v>-7.369722446915361</v>
      </c>
      <c r="D26" s="133">
        <f>-SUM('BS '!K45,'BS '!K48)+SUM('BS '!J45,'BS '!J48)</f>
        <v>-36.582889299999991</v>
      </c>
      <c r="E26" s="132">
        <f>-SUM('BS '!L45,'BS '!L48)+SUM('BS '!K45,'BS '!K48)</f>
        <v>-5.0000000000000071</v>
      </c>
      <c r="F26" s="132">
        <f>-SUM('BS '!M45,'BS '!M48)+SUM('BS '!L45,'BS '!L48)</f>
        <v>-2.5</v>
      </c>
      <c r="G26" s="132">
        <f>-SUM('BS '!N45,'BS '!N48)+SUM('BS '!M45,'BS '!M48)</f>
        <v>-1.5</v>
      </c>
      <c r="H26" s="132">
        <f>-SUM('BS '!O45,'BS '!O48)+SUM('BS '!N45,'BS '!N48)</f>
        <v>-5</v>
      </c>
      <c r="I26" s="132">
        <f>-SUM('BS '!P45,'BS '!P48)+SUM('BS '!O45,'BS '!O48)</f>
        <v>-5.5</v>
      </c>
      <c r="J26" s="132">
        <f>-SUM('BS '!Q45,'BS '!Q48)+SUM('BS '!P45,'BS '!P48)</f>
        <v>-6</v>
      </c>
      <c r="K26" s="132">
        <f>-SUM('BS '!R45,'BS '!R48)+SUM('BS '!Q45,'BS '!Q48)</f>
        <v>-6.5</v>
      </c>
    </row>
    <row r="27" spans="1:11" x14ac:dyDescent="0.25">
      <c r="A27" s="128" t="s">
        <v>165</v>
      </c>
      <c r="C27" s="132"/>
      <c r="D27" s="133"/>
      <c r="E27" s="133"/>
      <c r="F27" s="132"/>
      <c r="G27" s="132"/>
      <c r="H27" s="132"/>
      <c r="I27" s="132"/>
      <c r="J27" s="132"/>
      <c r="K27" s="132"/>
    </row>
    <row r="28" spans="1:11" x14ac:dyDescent="0.25">
      <c r="A28" s="128" t="s">
        <v>166</v>
      </c>
      <c r="C28" s="132"/>
      <c r="D28" s="133"/>
      <c r="E28" s="133"/>
      <c r="F28" s="132"/>
      <c r="G28" s="132"/>
      <c r="H28" s="132"/>
      <c r="I28" s="132"/>
      <c r="J28" s="132"/>
      <c r="K28" s="132"/>
    </row>
    <row r="29" spans="1:11" x14ac:dyDescent="0.25">
      <c r="A29" s="134" t="s">
        <v>167</v>
      </c>
      <c r="B29" s="134"/>
      <c r="C29" s="135">
        <f>+SUM(C26:C28)</f>
        <v>-7.369722446915361</v>
      </c>
      <c r="D29" s="136">
        <f t="shared" ref="D29" si="3">+SUM(D26:D28)</f>
        <v>-36.582889299999991</v>
      </c>
      <c r="E29" s="135">
        <f t="shared" ref="E29:K29" si="4">+SUM(E26:E28)</f>
        <v>-5.0000000000000071</v>
      </c>
      <c r="F29" s="135">
        <f t="shared" si="4"/>
        <v>-2.5</v>
      </c>
      <c r="G29" s="135">
        <f t="shared" si="4"/>
        <v>-1.5</v>
      </c>
      <c r="H29" s="135">
        <f t="shared" si="4"/>
        <v>-5</v>
      </c>
      <c r="I29" s="135">
        <f t="shared" si="4"/>
        <v>-5.5</v>
      </c>
      <c r="J29" s="135">
        <f t="shared" si="4"/>
        <v>-6</v>
      </c>
      <c r="K29" s="135">
        <f t="shared" si="4"/>
        <v>-6.5</v>
      </c>
    </row>
    <row r="30" spans="1:11" x14ac:dyDescent="0.25">
      <c r="C30" s="132"/>
      <c r="D30" s="133"/>
      <c r="E30" s="133"/>
      <c r="F30" s="132"/>
      <c r="G30" s="132"/>
      <c r="H30" s="132"/>
      <c r="I30" s="132"/>
      <c r="J30" s="132"/>
      <c r="K30" s="132"/>
    </row>
    <row r="31" spans="1:11" x14ac:dyDescent="0.25">
      <c r="C31" s="132"/>
      <c r="D31" s="133"/>
      <c r="E31" s="133"/>
      <c r="F31" s="132"/>
      <c r="G31" s="132"/>
      <c r="H31" s="132"/>
      <c r="I31" s="132"/>
      <c r="J31" s="132"/>
      <c r="K31" s="132"/>
    </row>
    <row r="32" spans="1:11" x14ac:dyDescent="0.25">
      <c r="A32" s="128" t="s">
        <v>168</v>
      </c>
      <c r="C32" s="132"/>
      <c r="D32" s="133"/>
      <c r="E32" s="133"/>
      <c r="F32" s="132"/>
      <c r="G32" s="132"/>
      <c r="H32" s="132"/>
      <c r="I32" s="132"/>
      <c r="J32" s="132"/>
      <c r="K32" s="132"/>
    </row>
    <row r="33" spans="1:11" x14ac:dyDescent="0.25">
      <c r="A33" s="128" t="s">
        <v>169</v>
      </c>
      <c r="C33" s="132">
        <f>SUM('BS '!J12:J13)-SUM('BS '!I12:I13)</f>
        <v>1.0940357999999999</v>
      </c>
      <c r="D33" s="133">
        <f>SUM('BS '!K12:K13)-SUM('BS '!J12:J13)</f>
        <v>0.4357742</v>
      </c>
      <c r="E33" s="132">
        <f>SUM('BS '!L12:L13)-SUM('BS '!K12:K13)</f>
        <v>0</v>
      </c>
      <c r="F33" s="132">
        <f>SUM('BS '!M12:M13)-SUM('BS '!L12:L13)</f>
        <v>0</v>
      </c>
      <c r="G33" s="132">
        <f>SUM('BS '!N12:N13)-SUM('BS '!M12:M13)</f>
        <v>0</v>
      </c>
      <c r="H33" s="132">
        <f>SUM('BS '!O12:O13)-SUM('BS '!N12:N13)</f>
        <v>150</v>
      </c>
      <c r="I33" s="132">
        <f>SUM('BS '!P12:P13)-SUM('BS '!O12:O13)</f>
        <v>0</v>
      </c>
      <c r="J33" s="132">
        <f>SUM('BS '!Q12:Q13)-SUM('BS '!P12:P13)</f>
        <v>0</v>
      </c>
      <c r="K33" s="132">
        <f>SUM('BS '!R12:R13)-SUM('BS '!Q12:Q13)</f>
        <v>0</v>
      </c>
    </row>
    <row r="34" spans="1:11" x14ac:dyDescent="0.25">
      <c r="A34" s="128" t="s">
        <v>170</v>
      </c>
      <c r="C34" s="132">
        <f>+'BS '!J16-'BS '!I16</f>
        <v>295.55958115800001</v>
      </c>
      <c r="D34" s="133">
        <f>+'BS '!K16-'BS '!J16</f>
        <v>234.56423448200002</v>
      </c>
      <c r="E34" s="132">
        <f>+'BS '!L16-'BS '!K16</f>
        <v>0</v>
      </c>
      <c r="F34" s="132">
        <f>+'BS '!M16-'BS '!L16</f>
        <v>0</v>
      </c>
      <c r="G34" s="132">
        <f>+'BS '!N16-'BS '!M16</f>
        <v>0</v>
      </c>
      <c r="H34" s="132">
        <f>+'BS '!O16-'BS '!N16</f>
        <v>0</v>
      </c>
      <c r="I34" s="132">
        <f>+'BS '!P16-'BS '!O16</f>
        <v>0</v>
      </c>
      <c r="J34" s="132">
        <f>+'BS '!Q16-'BS '!P16</f>
        <v>0</v>
      </c>
      <c r="K34" s="132">
        <f>+'BS '!R16-'BS '!Q16</f>
        <v>0</v>
      </c>
    </row>
    <row r="35" spans="1:11" x14ac:dyDescent="0.25">
      <c r="A35" s="128" t="s">
        <v>171</v>
      </c>
      <c r="C35" s="132"/>
      <c r="D35" s="133">
        <v>10.006185290462682</v>
      </c>
      <c r="E35" s="132"/>
      <c r="F35" s="132"/>
      <c r="G35" s="132"/>
      <c r="H35" s="132"/>
      <c r="I35" s="132"/>
      <c r="J35" s="132"/>
      <c r="K35" s="132"/>
    </row>
    <row r="36" spans="1:11" x14ac:dyDescent="0.25">
      <c r="A36" s="128" t="s">
        <v>172</v>
      </c>
      <c r="C36" s="132">
        <v>0</v>
      </c>
      <c r="D36" s="133">
        <v>0</v>
      </c>
      <c r="E36" s="132">
        <v>0</v>
      </c>
      <c r="F36" s="132">
        <v>0</v>
      </c>
      <c r="G36" s="132">
        <v>0</v>
      </c>
      <c r="H36" s="132">
        <v>0</v>
      </c>
      <c r="I36" s="132">
        <v>0</v>
      </c>
      <c r="J36" s="132">
        <v>0</v>
      </c>
      <c r="K36" s="132">
        <v>0</v>
      </c>
    </row>
    <row r="37" spans="1:11" x14ac:dyDescent="0.25">
      <c r="A37" s="128" t="s">
        <v>173</v>
      </c>
      <c r="C37" s="132">
        <f>SUM('BS '!J21,'BS '!J30)-SUM('BS '!I21,'BS '!I30)</f>
        <v>0</v>
      </c>
      <c r="D37" s="133">
        <f>SUM('BS '!K21,'BS '!K30)-SUM('BS '!J21,'BS '!J30)</f>
        <v>0</v>
      </c>
      <c r="E37" s="132">
        <f>SUM('BS '!L21,'BS '!L30)-SUM('BS '!K21,'BS '!K30)</f>
        <v>0</v>
      </c>
      <c r="F37" s="132">
        <f>SUM('BS '!M21,'BS '!M30)-SUM('BS '!L21,'BS '!L30)</f>
        <v>-20</v>
      </c>
      <c r="G37" s="132">
        <f>SUM('BS '!N21,'BS '!N30)-SUM('BS '!M21,'BS '!M30)</f>
        <v>-20</v>
      </c>
      <c r="H37" s="132">
        <f>SUM('BS '!O21,'BS '!O30)-SUM('BS '!N21,'BS '!N30)</f>
        <v>0</v>
      </c>
      <c r="I37" s="132">
        <f>SUM('BS '!P21,'BS '!P30)-SUM('BS '!O21,'BS '!O30)</f>
        <v>0</v>
      </c>
      <c r="J37" s="132">
        <f>SUM('BS '!Q21,'BS '!Q30)-SUM('BS '!P21,'BS '!P30)</f>
        <v>0</v>
      </c>
      <c r="K37" s="132">
        <f>SUM('BS '!R21,'BS '!R30)-SUM('BS '!Q21,'BS '!Q30)</f>
        <v>0</v>
      </c>
    </row>
    <row r="38" spans="1:11" x14ac:dyDescent="0.25">
      <c r="A38" s="128" t="s">
        <v>174</v>
      </c>
      <c r="C38" s="132">
        <f>+'BS '!J22-'BS '!I22</f>
        <v>0</v>
      </c>
      <c r="D38" s="133">
        <f>+'BS '!K22-'BS '!J22</f>
        <v>0</v>
      </c>
      <c r="E38" s="132">
        <f>+'BS '!L22-'BS '!K22</f>
        <v>-25</v>
      </c>
      <c r="F38" s="132">
        <f>+'BS '!M22-'BS '!L22</f>
        <v>0</v>
      </c>
      <c r="G38" s="132">
        <f>+'BS '!N22-'BS '!M22</f>
        <v>-20</v>
      </c>
      <c r="H38" s="132">
        <f>+'BS '!O22-'BS '!N22</f>
        <v>0</v>
      </c>
      <c r="I38" s="132">
        <f>+'BS '!P22-'BS '!O22</f>
        <v>0</v>
      </c>
      <c r="J38" s="132">
        <f>+'BS '!Q22-'BS '!P22</f>
        <v>0</v>
      </c>
      <c r="K38" s="132">
        <f>+'BS '!R22-'BS '!Q22</f>
        <v>0</v>
      </c>
    </row>
    <row r="39" spans="1:11" x14ac:dyDescent="0.25">
      <c r="A39" s="128" t="s">
        <v>175</v>
      </c>
      <c r="C39" s="132">
        <f>+SUM('BS '!J23+'BS '!J27+'BS '!J31+'BS '!J29+'BS '!J32)-('BS '!I23+'BS '!I27+'BS '!I31+'BS '!I29+'BS '!I32)</f>
        <v>421.40770309999994</v>
      </c>
      <c r="D39" s="133">
        <f>+SUM('BS '!K23+'BS '!K27+'BS '!K31+'BS '!K29+'BS '!K32)-('BS '!J23+'BS '!J27+'BS '!J31+'BS '!J29+'BS '!J32)</f>
        <v>1255.6698339836296</v>
      </c>
      <c r="E39" s="132">
        <f>+SUM('BS '!L23+'BS '!L27+'BS '!L31+'BS '!L29+'BS '!L32)-('BS '!K23+'BS '!K27+'BS '!K31+'BS '!K29+'BS '!K32)</f>
        <v>-1.8878357912371939</v>
      </c>
      <c r="F39" s="132">
        <f>+SUM('BS '!M23+'BS '!M27+'BS '!M31+'BS '!M29+'BS '!M32)-('BS '!L23+'BS '!L27+'BS '!L31+'BS '!L29+'BS '!L32)</f>
        <v>377.10216697730357</v>
      </c>
      <c r="G39" s="132">
        <f>+SUM('BS '!N23+'BS '!N27+'BS '!N31+'BS '!N29+'BS '!N32)-('BS '!M23+'BS '!M27+'BS '!M31+'BS '!M29+'BS '!M32)</f>
        <v>538.84274985550474</v>
      </c>
      <c r="H39" s="132">
        <f>+SUM('BS '!O23+'BS '!O27+'BS '!O31+'BS '!O29+'BS '!O32)-('BS '!N23+'BS '!N27+'BS '!N31+'BS '!N29+'BS '!N32)</f>
        <v>656.19009172654296</v>
      </c>
      <c r="I39" s="132">
        <f>+SUM('BS '!P23+'BS '!P27+'BS '!P31+'BS '!P29+'BS '!P32)-('BS '!O23+'BS '!O27+'BS '!O31+'BS '!O29+'BS '!O32)</f>
        <v>222.36072750115272</v>
      </c>
      <c r="J39" s="132">
        <f>+SUM('BS '!Q23+'BS '!Q27+'BS '!Q31+'BS '!Q29+'BS '!Q32)-('BS '!P23+'BS '!P27+'BS '!P31+'BS '!P29+'BS '!P32)</f>
        <v>755.60638358460255</v>
      </c>
      <c r="K39" s="132">
        <f>+SUM('BS '!R23+'BS '!R27+'BS '!R31+'BS '!R29+'BS '!R32)-('BS '!Q23+'BS '!Q27+'BS '!Q31+'BS '!Q29+'BS '!Q32)</f>
        <v>916.55591083195031</v>
      </c>
    </row>
    <row r="40" spans="1:11" x14ac:dyDescent="0.25">
      <c r="C40" s="132"/>
      <c r="D40" s="133"/>
      <c r="E40" s="133"/>
      <c r="F40" s="132"/>
      <c r="G40" s="132"/>
      <c r="H40" s="132"/>
      <c r="I40" s="132"/>
      <c r="J40" s="132"/>
      <c r="K40" s="132"/>
    </row>
    <row r="41" spans="1:11" x14ac:dyDescent="0.25">
      <c r="A41" s="134" t="s">
        <v>176</v>
      </c>
      <c r="B41" s="134"/>
      <c r="C41" s="135">
        <f t="shared" ref="C41:H41" si="5">SUM(C33:C39)</f>
        <v>718.06132005799986</v>
      </c>
      <c r="D41" s="136">
        <f t="shared" ref="D41" si="6">SUM(D33:D39)</f>
        <v>1500.6760279560922</v>
      </c>
      <c r="E41" s="136">
        <f t="shared" si="5"/>
        <v>-26.887835791237194</v>
      </c>
      <c r="F41" s="135">
        <f t="shared" si="5"/>
        <v>357.10216697730357</v>
      </c>
      <c r="G41" s="135">
        <f t="shared" si="5"/>
        <v>498.84274985550474</v>
      </c>
      <c r="H41" s="135">
        <f t="shared" si="5"/>
        <v>806.19009172654296</v>
      </c>
      <c r="I41" s="135">
        <f>SUM(I33:I39)</f>
        <v>222.36072750115272</v>
      </c>
      <c r="J41" s="135">
        <f>SUM(J33:J39)</f>
        <v>755.60638358460255</v>
      </c>
      <c r="K41" s="135">
        <f>SUM(K33:K39)</f>
        <v>916.55591083195031</v>
      </c>
    </row>
    <row r="42" spans="1:11" x14ac:dyDescent="0.25">
      <c r="C42" s="132"/>
      <c r="D42" s="133"/>
      <c r="E42" s="133"/>
      <c r="F42" s="132"/>
      <c r="G42" s="132"/>
      <c r="H42" s="132"/>
      <c r="I42" s="132"/>
      <c r="J42" s="132"/>
      <c r="K42" s="132"/>
    </row>
    <row r="43" spans="1:11" x14ac:dyDescent="0.25">
      <c r="C43" s="132"/>
      <c r="D43" s="133"/>
      <c r="E43" s="133"/>
      <c r="F43" s="132"/>
      <c r="G43" s="132"/>
      <c r="H43" s="132"/>
      <c r="I43" s="132"/>
      <c r="J43" s="132"/>
      <c r="K43" s="132"/>
    </row>
    <row r="44" spans="1:11" x14ac:dyDescent="0.25">
      <c r="A44" s="128" t="s">
        <v>177</v>
      </c>
      <c r="C44" s="132">
        <f>+C41+C29+C20</f>
        <v>252.27069385179703</v>
      </c>
      <c r="D44" s="133">
        <f t="shared" ref="D44:K44" si="7">+D41+D29+D20</f>
        <v>140.84273711934361</v>
      </c>
      <c r="E44" s="132">
        <f t="shared" si="7"/>
        <v>52.398900436478847</v>
      </c>
      <c r="F44" s="132">
        <f t="shared" si="7"/>
        <v>-66.570958091529064</v>
      </c>
      <c r="G44" s="132">
        <f t="shared" si="7"/>
        <v>-38.603593653771895</v>
      </c>
      <c r="H44" s="132">
        <f t="shared" si="7"/>
        <v>-9.4898946764565153</v>
      </c>
      <c r="I44" s="132">
        <f t="shared" si="7"/>
        <v>103.85707922227958</v>
      </c>
      <c r="J44" s="132">
        <f t="shared" si="7"/>
        <v>31.167384016679534</v>
      </c>
      <c r="K44" s="132">
        <f t="shared" si="7"/>
        <v>6.5207651867929144</v>
      </c>
    </row>
    <row r="45" spans="1:11" x14ac:dyDescent="0.25">
      <c r="A45" s="128" t="s">
        <v>178</v>
      </c>
      <c r="C45" s="132">
        <f>+'BS '!I50</f>
        <v>9.1876765489998053</v>
      </c>
      <c r="D45" s="132">
        <f>+'BS '!J50</f>
        <v>74.275138346000006</v>
      </c>
      <c r="E45" s="132">
        <f>+'BS '!K50</f>
        <v>62.371604995140103</v>
      </c>
      <c r="F45" s="132">
        <f>+'BS '!L50</f>
        <v>244.25972786645065</v>
      </c>
      <c r="G45" s="132">
        <f>+'BS '!M50</f>
        <v>357.88139994216891</v>
      </c>
      <c r="H45" s="132">
        <f>+'BS '!N50</f>
        <v>324.64496964482498</v>
      </c>
      <c r="I45" s="132">
        <f>+'BS '!O50</f>
        <v>367.44906627692467</v>
      </c>
      <c r="J45" s="132">
        <f>+'BS '!P50</f>
        <v>472.65406079689876</v>
      </c>
      <c r="K45" s="132">
        <f>+'BS '!Q50</f>
        <v>504.49058234152943</v>
      </c>
    </row>
    <row r="46" spans="1:11" x14ac:dyDescent="0.25">
      <c r="A46" s="128" t="s">
        <v>179</v>
      </c>
      <c r="C46" s="132">
        <f>-('BS '!J51+'BS '!J52+'BS '!J65+'BS '!J69)+('BS '!I51+'BS '!I52+'BS '!I65+'BS '!I69)</f>
        <v>-187.18484948300002</v>
      </c>
      <c r="D46" s="133">
        <f>-('BS '!K51+'BS '!K52+'BS '!K65+'BS '!K69)+('BS '!J51+'BS '!J52+'BS '!J65+'BS '!J69)</f>
        <v>-152.74627050199996</v>
      </c>
      <c r="E46" s="132">
        <f>-('BS '!L51+'BS '!L52+'BS '!L65+'BS '!L69)+('BS '!K51+'BS '!K52+'BS '!K65+'BS '!K69)</f>
        <v>129.48423234761904</v>
      </c>
      <c r="F46" s="132">
        <f>-('BS '!M51+'BS '!M52+'BS '!M65+'BS '!M69)+('BS '!L51+'BS '!L52+'BS '!L65+'BS '!L69)</f>
        <v>180.19837049999998</v>
      </c>
      <c r="G46" s="132">
        <f>-('BS '!N51+'BS '!N52+'BS '!N65+'BS '!N69)+('BS '!M51+'BS '!M52+'BS '!M65+'BS '!M69)</f>
        <v>5.3710985761904766</v>
      </c>
      <c r="H46" s="132">
        <f>-('BS '!O51+'BS '!O52+'BS '!O65+'BS '!O69)+('BS '!N51+'BS '!N52+'BS '!N65+'BS '!N69)</f>
        <v>52.287617582095237</v>
      </c>
      <c r="I46" s="132">
        <f>-('BS '!P51+'BS '!P52+'BS '!P65+'BS '!P69)+('BS '!O51+'BS '!O52+'BS '!O65+'BS '!O69)</f>
        <v>1.3452746440476193</v>
      </c>
      <c r="J46" s="132">
        <f>-('BS '!Q51+'BS '!Q52+'BS '!Q65+'BS '!Q69)+('BS '!P51+'BS '!P52+'BS '!P65+'BS '!P69)</f>
        <v>0.67263732202380955</v>
      </c>
      <c r="K46" s="132">
        <f>-('BS '!R51+'BS '!R52+'BS '!R65+'BS '!R69)+('BS '!Q51+'BS '!Q52+'BS '!Q65+'BS '!Q69)</f>
        <v>0.33631866101190466</v>
      </c>
    </row>
    <row r="47" spans="1:11" x14ac:dyDescent="0.25">
      <c r="A47" s="134" t="s">
        <v>180</v>
      </c>
      <c r="B47" s="134"/>
      <c r="C47" s="135">
        <f>SUM(C44:C46)</f>
        <v>74.273520917796844</v>
      </c>
      <c r="D47" s="136">
        <f t="shared" ref="D47:K47" si="8">SUM(D44:D46)</f>
        <v>62.371604963343657</v>
      </c>
      <c r="E47" s="136">
        <f t="shared" si="8"/>
        <v>244.25473777923798</v>
      </c>
      <c r="F47" s="135">
        <f t="shared" si="8"/>
        <v>357.88714027492153</v>
      </c>
      <c r="G47" s="135">
        <f t="shared" si="8"/>
        <v>324.64890486458751</v>
      </c>
      <c r="H47" s="135">
        <f t="shared" si="8"/>
        <v>367.44269255046368</v>
      </c>
      <c r="I47" s="135">
        <f t="shared" si="8"/>
        <v>472.65142014325187</v>
      </c>
      <c r="J47" s="135">
        <f t="shared" si="8"/>
        <v>504.49408213560213</v>
      </c>
      <c r="K47" s="135">
        <f t="shared" si="8"/>
        <v>511.34766618933423</v>
      </c>
    </row>
    <row r="48" spans="1:11" x14ac:dyDescent="0.25">
      <c r="C48" s="132"/>
      <c r="D48" s="133"/>
      <c r="E48" s="133"/>
      <c r="F48" s="132"/>
      <c r="G48" s="132"/>
      <c r="H48" s="132"/>
      <c r="I48" s="132"/>
      <c r="J48" s="132"/>
      <c r="K48" s="132"/>
    </row>
    <row r="49" spans="3:11" s="129" customFormat="1" x14ac:dyDescent="0.25">
      <c r="C49" s="137">
        <f>'BS '!J50</f>
        <v>74.275138346000006</v>
      </c>
      <c r="D49" s="137">
        <f>'BS '!K50</f>
        <v>62.371604995140103</v>
      </c>
      <c r="E49" s="137">
        <f>'BS '!L50</f>
        <v>244.25972786645065</v>
      </c>
      <c r="F49" s="137">
        <f>'BS '!M50</f>
        <v>357.88139994216891</v>
      </c>
      <c r="G49" s="137">
        <f>'BS '!N50</f>
        <v>324.64496964482498</v>
      </c>
      <c r="H49" s="137">
        <f>'BS '!O50</f>
        <v>367.44906627692467</v>
      </c>
      <c r="I49" s="137">
        <f>'BS '!P50</f>
        <v>472.65406079689876</v>
      </c>
      <c r="J49" s="137">
        <f>'BS '!Q50</f>
        <v>504.49058234152943</v>
      </c>
      <c r="K49" s="137">
        <f>'BS '!R50</f>
        <v>511.34759856876894</v>
      </c>
    </row>
    <row r="50" spans="3:11" s="129" customFormat="1" x14ac:dyDescent="0.25">
      <c r="C50" s="137">
        <f>C47-C49</f>
        <v>-1.6174282031613529E-3</v>
      </c>
      <c r="D50" s="137">
        <f>D47-D49</f>
        <v>-3.1796446364751318E-8</v>
      </c>
      <c r="E50" s="137">
        <f t="shared" ref="E50:K50" si="9">E47-E49</f>
        <v>-4.9900872126613649E-3</v>
      </c>
      <c r="F50" s="137">
        <f t="shared" si="9"/>
        <v>5.7403327526230896E-3</v>
      </c>
      <c r="G50" s="137">
        <f t="shared" si="9"/>
        <v>3.9352197625248664E-3</v>
      </c>
      <c r="H50" s="137">
        <f t="shared" si="9"/>
        <v>-6.3737264609926569E-3</v>
      </c>
      <c r="I50" s="137">
        <f t="shared" si="9"/>
        <v>-2.6406536468925879E-3</v>
      </c>
      <c r="J50" s="137">
        <f t="shared" si="9"/>
        <v>3.4997940726952947E-3</v>
      </c>
      <c r="K50" s="137">
        <f t="shared" si="9"/>
        <v>6.7620565289416845E-5</v>
      </c>
    </row>
    <row r="51" spans="3:11" x14ac:dyDescent="0.25">
      <c r="D51" s="131"/>
    </row>
    <row r="52" spans="3:11" x14ac:dyDescent="0.25">
      <c r="F52" s="138"/>
      <c r="G52" s="138"/>
      <c r="H52" s="138"/>
      <c r="I52" s="138"/>
      <c r="J52" s="138"/>
      <c r="K52" s="138"/>
    </row>
    <row r="53" spans="3:11" x14ac:dyDescent="0.25">
      <c r="C53" s="130"/>
      <c r="D53" s="130"/>
      <c r="E53" s="130"/>
      <c r="F53" s="130"/>
      <c r="G53" s="130"/>
      <c r="H53" s="130"/>
      <c r="I53" s="130"/>
      <c r="J53" s="130"/>
      <c r="K53" s="130"/>
    </row>
    <row r="54" spans="3:11" x14ac:dyDescent="0.25">
      <c r="C54" s="130"/>
      <c r="D54" s="130"/>
      <c r="E54" s="130"/>
      <c r="F54" s="130"/>
      <c r="G54" s="130"/>
      <c r="H54" s="130"/>
      <c r="I54" s="130"/>
      <c r="J54" s="130"/>
      <c r="K54" s="130"/>
    </row>
    <row r="55" spans="3:11" x14ac:dyDescent="0.25">
      <c r="C55" s="130"/>
      <c r="D55" s="130"/>
      <c r="E55" s="130"/>
      <c r="F55" s="130"/>
      <c r="G55" s="130"/>
      <c r="H55" s="130"/>
      <c r="I55" s="130"/>
      <c r="J55" s="130"/>
      <c r="K55" s="130"/>
    </row>
    <row r="56" spans="3:11" x14ac:dyDescent="0.25">
      <c r="C56" s="130"/>
      <c r="D56" s="130"/>
      <c r="E56" s="130"/>
      <c r="F56" s="130"/>
      <c r="G56" s="130"/>
      <c r="H56" s="130"/>
      <c r="I56" s="130"/>
      <c r="J56" s="130"/>
      <c r="K56" s="130"/>
    </row>
    <row r="57" spans="3:11" x14ac:dyDescent="0.25">
      <c r="C57" s="130"/>
      <c r="D57" s="130"/>
      <c r="E57" s="130"/>
      <c r="F57" s="130"/>
      <c r="G57" s="130"/>
      <c r="H57" s="130"/>
      <c r="I57" s="130"/>
      <c r="J57" s="130"/>
      <c r="K57" s="130"/>
    </row>
    <row r="58" spans="3:11" x14ac:dyDescent="0.25">
      <c r="C58" s="130"/>
      <c r="D58" s="130"/>
      <c r="E58" s="130"/>
      <c r="F58" s="130"/>
      <c r="G58" s="130"/>
      <c r="H58" s="130"/>
      <c r="I58" s="130"/>
      <c r="J58" s="130"/>
      <c r="K58" s="130"/>
    </row>
    <row r="63" spans="3:11" x14ac:dyDescent="0.25">
      <c r="D63" s="131"/>
      <c r="E63" s="131"/>
      <c r="F63" s="131"/>
      <c r="G63" s="131"/>
      <c r="H63" s="131"/>
      <c r="I63" s="131"/>
      <c r="J63" s="131"/>
      <c r="K63" s="131"/>
    </row>
    <row r="64" spans="3:11" x14ac:dyDescent="0.25">
      <c r="D64" s="131"/>
      <c r="E64" s="131"/>
      <c r="F64" s="131"/>
      <c r="G64" s="131"/>
      <c r="H64" s="131"/>
      <c r="I64" s="131"/>
      <c r="J64" s="131"/>
      <c r="K64" s="131"/>
    </row>
    <row r="65" spans="4:11" x14ac:dyDescent="0.25">
      <c r="F65" s="129"/>
      <c r="G65" s="129"/>
      <c r="H65" s="129"/>
      <c r="I65" s="129"/>
      <c r="J65" s="129"/>
      <c r="K65" s="129"/>
    </row>
    <row r="66" spans="4:11" x14ac:dyDescent="0.25">
      <c r="F66" s="129"/>
      <c r="G66" s="129"/>
      <c r="H66" s="129"/>
      <c r="I66" s="129"/>
      <c r="J66" s="129"/>
      <c r="K66" s="129"/>
    </row>
    <row r="67" spans="4:11" x14ac:dyDescent="0.25">
      <c r="D67" s="131"/>
      <c r="E67" s="131"/>
      <c r="F67" s="131"/>
      <c r="G67" s="131"/>
      <c r="H67" s="131"/>
      <c r="I67" s="131"/>
      <c r="J67" s="131"/>
      <c r="K67" s="131"/>
    </row>
    <row r="68" spans="4:11" x14ac:dyDescent="0.25">
      <c r="D68" s="131"/>
      <c r="E68" s="131"/>
      <c r="F68" s="131"/>
      <c r="G68" s="131"/>
      <c r="H68" s="131"/>
      <c r="I68" s="131"/>
      <c r="J68" s="131"/>
      <c r="K68" s="13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"/>
  <sheetViews>
    <sheetView showGridLines="0" zoomScale="80" zoomScaleNormal="80" workbookViewId="0">
      <pane xSplit="5" ySplit="5" topLeftCell="G6" activePane="bottomRight" state="frozen"/>
      <selection activeCell="K4" sqref="K4"/>
      <selection pane="topRight" activeCell="K4" sqref="K4"/>
      <selection pane="bottomLeft" activeCell="K4" sqref="K4"/>
      <selection pane="bottomRight" activeCell="K12" sqref="K12"/>
    </sheetView>
  </sheetViews>
  <sheetFormatPr defaultColWidth="9.140625" defaultRowHeight="15" x14ac:dyDescent="0.25"/>
  <cols>
    <col min="1" max="1" width="3" style="139" bestFit="1" customWidth="1"/>
    <col min="2" max="2" width="34" style="139" customWidth="1"/>
    <col min="3" max="5" width="11.5703125" style="140" hidden="1" customWidth="1"/>
    <col min="6" max="6" width="11.5703125" style="141" hidden="1" customWidth="1"/>
    <col min="7" max="7" width="11.5703125" style="140" customWidth="1"/>
    <col min="8" max="8" width="11.5703125" style="142" hidden="1" customWidth="1"/>
    <col min="9" max="9" width="12.85546875" style="140" customWidth="1"/>
    <col min="10" max="10" width="14.140625" style="140" customWidth="1"/>
    <col min="11" max="11" width="12.85546875" style="140" customWidth="1"/>
    <col min="12" max="14" width="12.85546875" style="58" bestFit="1" customWidth="1"/>
    <col min="15" max="18" width="11.42578125" style="58" customWidth="1"/>
    <col min="19" max="16384" width="9.140625" style="58"/>
  </cols>
  <sheetData>
    <row r="1" spans="1:18" x14ac:dyDescent="0.25">
      <c r="B1" s="91" t="s">
        <v>65</v>
      </c>
      <c r="I1" s="143"/>
      <c r="J1" s="144"/>
      <c r="K1" s="144"/>
      <c r="L1" s="144"/>
      <c r="M1" s="144"/>
      <c r="N1" s="144"/>
    </row>
    <row r="2" spans="1:18" x14ac:dyDescent="0.25">
      <c r="B2" s="91" t="s">
        <v>66</v>
      </c>
      <c r="G2" s="144"/>
      <c r="I2" s="145"/>
      <c r="K2" s="146"/>
      <c r="L2" s="147"/>
      <c r="M2" s="147"/>
      <c r="N2" s="147"/>
      <c r="O2" s="148"/>
      <c r="P2" s="148"/>
      <c r="Q2" s="148"/>
      <c r="R2" s="148"/>
    </row>
    <row r="3" spans="1:18" x14ac:dyDescent="0.25">
      <c r="A3" s="149"/>
      <c r="F3" s="150">
        <v>10000000</v>
      </c>
      <c r="G3" s="144"/>
      <c r="K3" s="144"/>
      <c r="L3" s="144"/>
      <c r="M3" s="144"/>
      <c r="N3" s="144"/>
      <c r="R3" s="100" t="s">
        <v>68</v>
      </c>
    </row>
    <row r="4" spans="1:18" x14ac:dyDescent="0.25">
      <c r="A4" s="151" t="s">
        <v>69</v>
      </c>
      <c r="B4" s="151" t="s">
        <v>70</v>
      </c>
      <c r="C4" s="152" t="s">
        <v>71</v>
      </c>
      <c r="D4" s="152" t="s">
        <v>72</v>
      </c>
      <c r="E4" s="153" t="s">
        <v>73</v>
      </c>
      <c r="F4" s="153" t="s">
        <v>74</v>
      </c>
      <c r="G4" s="153" t="s">
        <v>75</v>
      </c>
      <c r="H4" s="153" t="s">
        <v>1</v>
      </c>
      <c r="I4" s="153" t="str">
        <f>Assumptions!B1</f>
        <v>2017-18</v>
      </c>
      <c r="J4" s="153" t="str">
        <f>Assumptions!C1</f>
        <v>2018-19</v>
      </c>
      <c r="K4" s="153" t="s">
        <v>3</v>
      </c>
      <c r="L4" s="153" t="str">
        <f>Assumptions!E1</f>
        <v>2020-21</v>
      </c>
      <c r="M4" s="153" t="str">
        <f>Assumptions!F1</f>
        <v>2021-22</v>
      </c>
      <c r="N4" s="153" t="str">
        <f>Assumptions!G1</f>
        <v>2022-23</v>
      </c>
      <c r="O4" s="153" t="str">
        <f>Assumptions!H1</f>
        <v>2023-24</v>
      </c>
      <c r="P4" s="153" t="str">
        <f>Assumptions!I1</f>
        <v>2024-25</v>
      </c>
      <c r="Q4" s="153" t="str">
        <f>Assumptions!J1</f>
        <v>2025-26</v>
      </c>
      <c r="R4" s="153" t="str">
        <f>Assumptions!K1</f>
        <v>2026-27</v>
      </c>
    </row>
    <row r="5" spans="1:18" x14ac:dyDescent="0.25">
      <c r="A5" s="154"/>
      <c r="B5" s="154"/>
      <c r="C5" s="152" t="s">
        <v>11</v>
      </c>
      <c r="D5" s="152" t="s">
        <v>11</v>
      </c>
      <c r="E5" s="152" t="s">
        <v>11</v>
      </c>
      <c r="F5" s="152" t="s">
        <v>11</v>
      </c>
      <c r="G5" s="152" t="s">
        <v>11</v>
      </c>
      <c r="H5" s="155">
        <v>43100</v>
      </c>
      <c r="I5" s="152" t="str">
        <f>Assumptions!B2</f>
        <v>Audited</v>
      </c>
      <c r="J5" s="152" t="str">
        <f>Assumptions!C2</f>
        <v>Audited</v>
      </c>
      <c r="K5" s="152" t="s">
        <v>11</v>
      </c>
      <c r="L5" s="152" t="str">
        <f>Assumptions!E2</f>
        <v>Projected</v>
      </c>
      <c r="M5" s="152" t="str">
        <f>Assumptions!F2</f>
        <v>Projected</v>
      </c>
      <c r="N5" s="152" t="str">
        <f>Assumptions!G2</f>
        <v>Projected</v>
      </c>
      <c r="O5" s="152" t="str">
        <f>Assumptions!H2</f>
        <v>Projected</v>
      </c>
      <c r="P5" s="152" t="str">
        <f>Assumptions!I2</f>
        <v>Projected</v>
      </c>
      <c r="Q5" s="152" t="str">
        <f>Assumptions!J2</f>
        <v>Projected</v>
      </c>
      <c r="R5" s="152" t="str">
        <f>Assumptions!K2</f>
        <v>Projected</v>
      </c>
    </row>
    <row r="6" spans="1:18" x14ac:dyDescent="0.25">
      <c r="A6" s="156" t="s">
        <v>181</v>
      </c>
      <c r="B6" s="157" t="s">
        <v>182</v>
      </c>
      <c r="C6" s="158"/>
      <c r="D6" s="158"/>
      <c r="E6" s="159"/>
      <c r="F6" s="160"/>
      <c r="G6" s="161"/>
      <c r="H6" s="162"/>
      <c r="I6" s="161"/>
      <c r="J6" s="161"/>
      <c r="K6" s="161"/>
      <c r="L6" s="163"/>
      <c r="M6" s="163"/>
      <c r="N6" s="163"/>
      <c r="O6" s="163"/>
      <c r="P6" s="163"/>
      <c r="Q6" s="163"/>
      <c r="R6" s="163"/>
    </row>
    <row r="7" spans="1:18" x14ac:dyDescent="0.25">
      <c r="A7" s="158">
        <v>1</v>
      </c>
      <c r="B7" s="164" t="s">
        <v>183</v>
      </c>
      <c r="C7" s="165">
        <v>27.941476099999999</v>
      </c>
      <c r="D7" s="165">
        <v>52.881840369000003</v>
      </c>
      <c r="E7" s="166">
        <v>69.856929699999995</v>
      </c>
      <c r="F7" s="165">
        <v>91.444451780645139</v>
      </c>
      <c r="G7" s="165">
        <v>117.7643109654895</v>
      </c>
      <c r="H7" s="167">
        <v>117.9229813</v>
      </c>
      <c r="I7" s="165">
        <v>165.60983350000001</v>
      </c>
      <c r="J7" s="165">
        <v>286.46203365599996</v>
      </c>
      <c r="K7" s="165">
        <v>501.92660000000001</v>
      </c>
      <c r="L7" s="165">
        <v>570.51910666080005</v>
      </c>
      <c r="M7" s="165">
        <v>649.91917286400007</v>
      </c>
      <c r="N7" s="165">
        <v>766.81669836000003</v>
      </c>
      <c r="O7" s="165">
        <v>934.95587729100009</v>
      </c>
      <c r="P7" s="165">
        <v>1057.8399589886719</v>
      </c>
      <c r="Q7" s="165">
        <v>1193.4371152492408</v>
      </c>
      <c r="R7" s="165">
        <v>1414.4281249120068</v>
      </c>
    </row>
    <row r="8" spans="1:18" x14ac:dyDescent="0.25">
      <c r="A8" s="158">
        <f>A7+1</f>
        <v>2</v>
      </c>
      <c r="B8" s="164" t="s">
        <v>184</v>
      </c>
      <c r="C8" s="165">
        <v>2.4072938000000002</v>
      </c>
      <c r="D8" s="165">
        <v>2.9419794399999999</v>
      </c>
      <c r="E8" s="166">
        <v>2.9788142</v>
      </c>
      <c r="F8" s="165">
        <v>2.5868937000000001</v>
      </c>
      <c r="G8" s="165">
        <v>2.8003227000000002</v>
      </c>
      <c r="H8" s="167">
        <v>2.9977927000000002</v>
      </c>
      <c r="I8" s="165">
        <v>3.6963189000000001</v>
      </c>
      <c r="J8" s="165">
        <v>7.3399013860000002</v>
      </c>
      <c r="K8" s="165">
        <v>24.619600000000002</v>
      </c>
      <c r="L8" s="165">
        <v>1.166964952294762</v>
      </c>
      <c r="M8" s="165">
        <v>0.89468041704476198</v>
      </c>
      <c r="N8" s="165">
        <v>0.55084767206857155</v>
      </c>
      <c r="O8" s="165">
        <v>0.2885191164792858</v>
      </c>
      <c r="P8" s="165">
        <v>0.15735483868464298</v>
      </c>
      <c r="Q8" s="165">
        <v>9.1772699787321527E-2</v>
      </c>
      <c r="R8" s="165">
        <v>5.8981630338660801E-2</v>
      </c>
    </row>
    <row r="9" spans="1:18" x14ac:dyDescent="0.25">
      <c r="A9" s="158">
        <f>A8+1</f>
        <v>3</v>
      </c>
      <c r="B9" s="164" t="s">
        <v>185</v>
      </c>
      <c r="C9" s="165">
        <v>3.0393433999999999</v>
      </c>
      <c r="D9" s="165">
        <v>2.7533424000000002</v>
      </c>
      <c r="E9" s="166">
        <v>6.1872521000000003</v>
      </c>
      <c r="F9" s="165">
        <v>8.4392732000000006</v>
      </c>
      <c r="G9" s="165">
        <v>15.9153541</v>
      </c>
      <c r="H9" s="167">
        <v>19.301367200000001</v>
      </c>
      <c r="I9" s="165">
        <v>31.229409100000002</v>
      </c>
      <c r="J9" s="165">
        <v>25.942071672933615</v>
      </c>
      <c r="K9" s="165">
        <v>18.898800000000001</v>
      </c>
      <c r="L9" s="165">
        <v>25.627159141237502</v>
      </c>
      <c r="M9" s="165">
        <v>35.117549283552606</v>
      </c>
      <c r="N9" s="165">
        <v>44.066127610087335</v>
      </c>
      <c r="O9" s="165">
        <v>48.241515289951529</v>
      </c>
      <c r="P9" s="165">
        <v>54.988724052649744</v>
      </c>
      <c r="Q9" s="165">
        <v>74.955222191063342</v>
      </c>
      <c r="R9" s="165">
        <v>94.807331092727381</v>
      </c>
    </row>
    <row r="10" spans="1:18" x14ac:dyDescent="0.25">
      <c r="A10" s="158">
        <f>A9+1</f>
        <v>4</v>
      </c>
      <c r="B10" s="164" t="s">
        <v>186</v>
      </c>
      <c r="C10" s="165">
        <v>0.40299410000000002</v>
      </c>
      <c r="D10" s="165">
        <v>0.32895210000000003</v>
      </c>
      <c r="E10" s="166">
        <v>0.74921870000000002</v>
      </c>
      <c r="F10" s="165">
        <v>0.65039349999999996</v>
      </c>
      <c r="G10" s="165">
        <v>1.6948201000000001</v>
      </c>
      <c r="H10" s="167">
        <v>0.93379190000000001</v>
      </c>
      <c r="I10" s="165">
        <v>1.4594912</v>
      </c>
      <c r="J10" s="165">
        <v>3.8804455</v>
      </c>
      <c r="K10" s="165">
        <v>7.5640000000000001</v>
      </c>
      <c r="L10" s="165">
        <v>9.5651366520225007</v>
      </c>
      <c r="M10" s="165">
        <v>10.04207526862217</v>
      </c>
      <c r="N10" s="165">
        <v>11.036501494755528</v>
      </c>
      <c r="O10" s="165">
        <v>13.355322885353763</v>
      </c>
      <c r="P10" s="165">
        <v>15.342538848597519</v>
      </c>
      <c r="Q10" s="165">
        <v>17.555247102374217</v>
      </c>
      <c r="R10" s="165">
        <v>20.91974750546774</v>
      </c>
    </row>
    <row r="11" spans="1:18" x14ac:dyDescent="0.25">
      <c r="A11" s="158">
        <f>A10+1</f>
        <v>5</v>
      </c>
      <c r="B11" s="164" t="s">
        <v>187</v>
      </c>
      <c r="C11" s="165">
        <v>4.1205341000000004</v>
      </c>
      <c r="D11" s="165">
        <v>5.3058854999999996</v>
      </c>
      <c r="E11" s="166">
        <v>6.1197999999999997</v>
      </c>
      <c r="F11" s="165">
        <v>8.0566426</v>
      </c>
      <c r="G11" s="165">
        <v>13.4922477</v>
      </c>
      <c r="H11" s="167">
        <v>16.143196400000001</v>
      </c>
      <c r="I11" s="165">
        <v>23.999479900000001</v>
      </c>
      <c r="J11" s="165">
        <v>36.937926662000002</v>
      </c>
      <c r="K11" s="165">
        <v>19.5152</v>
      </c>
      <c r="L11" s="165">
        <v>15.625</v>
      </c>
      <c r="M11" s="165">
        <v>20.6</v>
      </c>
      <c r="N11" s="165">
        <v>24.7</v>
      </c>
      <c r="O11" s="165">
        <v>29.6</v>
      </c>
      <c r="P11" s="165">
        <v>35.5</v>
      </c>
      <c r="Q11" s="165">
        <v>42.6</v>
      </c>
      <c r="R11" s="165">
        <v>51.1</v>
      </c>
    </row>
    <row r="12" spans="1:18" x14ac:dyDescent="0.25">
      <c r="A12" s="158">
        <f>A11+1</f>
        <v>6</v>
      </c>
      <c r="B12" s="164" t="s">
        <v>188</v>
      </c>
      <c r="C12" s="165">
        <v>2.0590229999999998</v>
      </c>
      <c r="D12" s="165">
        <v>2.0641043450000001</v>
      </c>
      <c r="E12" s="166">
        <v>2.7216233000000001</v>
      </c>
      <c r="F12" s="165">
        <v>4.6072382000000003</v>
      </c>
      <c r="G12" s="165">
        <v>5.5390277000000001</v>
      </c>
      <c r="H12" s="167">
        <v>1.5783400000000001</v>
      </c>
      <c r="I12" s="165">
        <v>1.3353999999999999</v>
      </c>
      <c r="J12" s="165">
        <v>4.3722219080000002</v>
      </c>
      <c r="K12" s="165">
        <v>9.8785000000000007</v>
      </c>
      <c r="L12" s="165">
        <v>2.2321428571428572</v>
      </c>
      <c r="M12" s="165">
        <v>3.6785714285714293</v>
      </c>
      <c r="N12" s="165">
        <v>4.4107142857142865</v>
      </c>
      <c r="O12" s="165">
        <v>5.2857142857142865</v>
      </c>
      <c r="P12" s="165">
        <v>6.3392857142857153</v>
      </c>
      <c r="Q12" s="165">
        <v>7.6071428571428585</v>
      </c>
      <c r="R12" s="165">
        <v>9.1250000000000018</v>
      </c>
    </row>
    <row r="13" spans="1:18" x14ac:dyDescent="0.25">
      <c r="A13" s="158"/>
      <c r="B13" s="168"/>
      <c r="C13" s="165"/>
      <c r="D13" s="165"/>
      <c r="E13" s="166"/>
      <c r="F13" s="166"/>
      <c r="G13" s="166"/>
      <c r="H13" s="169"/>
      <c r="I13" s="166"/>
      <c r="J13" s="166"/>
      <c r="K13" s="166"/>
      <c r="L13" s="170"/>
      <c r="M13" s="170"/>
      <c r="N13" s="170"/>
      <c r="O13" s="170"/>
      <c r="P13" s="170"/>
      <c r="Q13" s="170"/>
      <c r="R13" s="170"/>
    </row>
    <row r="14" spans="1:18" x14ac:dyDescent="0.25">
      <c r="A14" s="158"/>
      <c r="B14" s="157" t="s">
        <v>63</v>
      </c>
      <c r="C14" s="171">
        <f>ROUND(SUM(C7:C13),2)</f>
        <v>39.97</v>
      </c>
      <c r="D14" s="171">
        <f>ROUND(SUM(D7:D13),2)</f>
        <v>66.28</v>
      </c>
      <c r="E14" s="171">
        <f>ROUND(SUM(E7:E13),2)</f>
        <v>88.61</v>
      </c>
      <c r="F14" s="171">
        <f>(SUM(F7:F13))</f>
        <v>115.78489298064515</v>
      </c>
      <c r="G14" s="171">
        <f>(SUM(G7:G13))</f>
        <v>157.20608326548947</v>
      </c>
      <c r="H14" s="172">
        <v>158.87746949999999</v>
      </c>
      <c r="I14" s="171">
        <f t="shared" ref="I14:R14" si="0">(SUM(I7:I13))</f>
        <v>227.32993260000001</v>
      </c>
      <c r="J14" s="171">
        <f t="shared" si="0"/>
        <v>364.93460078493354</v>
      </c>
      <c r="K14" s="171">
        <f t="shared" si="0"/>
        <v>582.4027000000001</v>
      </c>
      <c r="L14" s="171">
        <f t="shared" si="0"/>
        <v>624.73551026349764</v>
      </c>
      <c r="M14" s="171">
        <f t="shared" si="0"/>
        <v>720.25204926179117</v>
      </c>
      <c r="N14" s="171">
        <f t="shared" si="0"/>
        <v>851.58088942262589</v>
      </c>
      <c r="O14" s="171">
        <f t="shared" si="0"/>
        <v>1031.7269488684988</v>
      </c>
      <c r="P14" s="171">
        <f t="shared" si="0"/>
        <v>1170.1678624428896</v>
      </c>
      <c r="Q14" s="171">
        <f t="shared" si="0"/>
        <v>1336.2465000996085</v>
      </c>
      <c r="R14" s="171">
        <f t="shared" si="0"/>
        <v>1590.4391851405403</v>
      </c>
    </row>
    <row r="15" spans="1:18" x14ac:dyDescent="0.25">
      <c r="A15" s="156" t="s">
        <v>116</v>
      </c>
      <c r="B15" s="157" t="s">
        <v>189</v>
      </c>
      <c r="C15" s="173"/>
      <c r="D15" s="173"/>
      <c r="E15" s="174"/>
      <c r="F15" s="160"/>
      <c r="G15" s="175"/>
      <c r="H15" s="176"/>
      <c r="I15" s="177"/>
      <c r="J15" s="161"/>
      <c r="K15" s="178"/>
      <c r="L15" s="179"/>
      <c r="M15" s="179"/>
      <c r="N15" s="179"/>
      <c r="O15" s="179"/>
      <c r="P15" s="179"/>
      <c r="Q15" s="179"/>
      <c r="R15" s="179"/>
    </row>
    <row r="16" spans="1:18" x14ac:dyDescent="0.25">
      <c r="A16" s="158">
        <v>1</v>
      </c>
      <c r="B16" s="164" t="s">
        <v>190</v>
      </c>
      <c r="C16" s="165">
        <v>5.2990313999999996</v>
      </c>
      <c r="D16" s="165">
        <v>7.1521718999999999</v>
      </c>
      <c r="E16" s="166">
        <v>10.365871800000001</v>
      </c>
      <c r="F16" s="166">
        <v>17.9541912</v>
      </c>
      <c r="G16" s="166">
        <v>31.6712858</v>
      </c>
      <c r="H16" s="169">
        <v>34.949397552000001</v>
      </c>
      <c r="I16" s="166">
        <v>50.020487899999999</v>
      </c>
      <c r="J16" s="166">
        <v>70.844841119000009</v>
      </c>
      <c r="K16" s="166">
        <v>105.7101</v>
      </c>
      <c r="L16" s="166">
        <v>112.04310525689014</v>
      </c>
      <c r="M16" s="166">
        <v>124.51131666505016</v>
      </c>
      <c r="N16" s="166">
        <v>140.07523124818141</v>
      </c>
      <c r="O16" s="166">
        <v>162.58463515420408</v>
      </c>
      <c r="P16" s="166">
        <v>175.40771454847959</v>
      </c>
      <c r="Q16" s="166">
        <v>190.33367886703954</v>
      </c>
      <c r="R16" s="166">
        <v>221.12538872541947</v>
      </c>
    </row>
    <row r="17" spans="1:18" x14ac:dyDescent="0.25">
      <c r="A17" s="158">
        <v>2</v>
      </c>
      <c r="B17" s="164" t="s">
        <v>191</v>
      </c>
      <c r="C17" s="165">
        <v>11.835023399999999</v>
      </c>
      <c r="D17" s="165">
        <v>15.080604171999997</v>
      </c>
      <c r="E17" s="166">
        <v>19.080339900000002</v>
      </c>
      <c r="F17" s="166">
        <v>25.5994274</v>
      </c>
      <c r="G17" s="166">
        <v>30.344663600000001</v>
      </c>
      <c r="H17" s="169">
        <v>29.436417768000002</v>
      </c>
      <c r="I17" s="166">
        <v>38.835667899999997</v>
      </c>
      <c r="J17" s="166">
        <v>55.277349024130977</v>
      </c>
      <c r="K17" s="166">
        <f>40.5483+11.33671532</f>
        <v>51.885015319999994</v>
      </c>
      <c r="L17" s="166">
        <v>56.876335118937504</v>
      </c>
      <c r="M17" s="166">
        <v>63.838985927164657</v>
      </c>
      <c r="N17" s="166">
        <v>74.308824835075143</v>
      </c>
      <c r="O17" s="166">
        <v>89.72449993947194</v>
      </c>
      <c r="P17" s="166">
        <v>98.566779770430216</v>
      </c>
      <c r="Q17" s="166">
        <v>109.12599936666416</v>
      </c>
      <c r="R17" s="166">
        <v>125.4011826727036</v>
      </c>
    </row>
    <row r="18" spans="1:18" x14ac:dyDescent="0.25">
      <c r="A18" s="158">
        <v>3</v>
      </c>
      <c r="B18" s="168" t="s">
        <v>192</v>
      </c>
      <c r="C18" s="165">
        <v>10.277614</v>
      </c>
      <c r="D18" s="165">
        <v>28.274785798000003</v>
      </c>
      <c r="E18" s="166">
        <v>39.865909899999998</v>
      </c>
      <c r="F18" s="166">
        <v>47.4948835</v>
      </c>
      <c r="G18" s="166">
        <v>65.6990658</v>
      </c>
      <c r="H18" s="169">
        <v>62.451362699999997</v>
      </c>
      <c r="I18" s="166">
        <v>84.786533000000006</v>
      </c>
      <c r="J18" s="166">
        <v>130.96283083400002</v>
      </c>
      <c r="K18" s="166">
        <v>222.50169999999997</v>
      </c>
      <c r="L18" s="166">
        <v>227.69240350609903</v>
      </c>
      <c r="M18" s="166">
        <v>263.89367250576413</v>
      </c>
      <c r="N18" s="166">
        <v>322.28782168979041</v>
      </c>
      <c r="O18" s="166">
        <v>382.78033419597057</v>
      </c>
      <c r="P18" s="166">
        <v>435.77059192188887</v>
      </c>
      <c r="Q18" s="166">
        <v>492.96369342688882</v>
      </c>
      <c r="R18" s="166">
        <v>586.5424930555555</v>
      </c>
    </row>
    <row r="19" spans="1:18" x14ac:dyDescent="0.25">
      <c r="A19" s="158">
        <v>4</v>
      </c>
      <c r="B19" s="164" t="s">
        <v>193</v>
      </c>
      <c r="C19" s="165">
        <v>0.5588341</v>
      </c>
      <c r="D19" s="165">
        <v>1.561760324</v>
      </c>
      <c r="E19" s="166">
        <v>0.86319120000000005</v>
      </c>
      <c r="F19" s="166">
        <v>0.91951000000000005</v>
      </c>
      <c r="G19" s="166">
        <v>3.4562710999999999</v>
      </c>
      <c r="H19" s="169">
        <v>2.7762855239999995</v>
      </c>
      <c r="I19" s="166">
        <v>4.6641167000000001</v>
      </c>
      <c r="J19" s="166">
        <v>7.4993405610000003</v>
      </c>
      <c r="K19" s="166">
        <v>9.9827999999999992</v>
      </c>
      <c r="L19" s="166">
        <v>10.64</v>
      </c>
      <c r="M19" s="166">
        <v>12.48</v>
      </c>
      <c r="N19" s="166">
        <v>14.7</v>
      </c>
      <c r="O19" s="166">
        <v>16.8</v>
      </c>
      <c r="P19" s="166">
        <v>18.96</v>
      </c>
      <c r="Q19" s="166">
        <v>21.265999999999998</v>
      </c>
      <c r="R19" s="166">
        <v>21.515000000000001</v>
      </c>
    </row>
    <row r="20" spans="1:18" x14ac:dyDescent="0.25">
      <c r="A20" s="158"/>
      <c r="B20" s="164"/>
      <c r="C20" s="165"/>
      <c r="D20" s="165"/>
      <c r="E20" s="166"/>
      <c r="F20" s="166"/>
      <c r="G20" s="166"/>
      <c r="H20" s="169"/>
      <c r="I20" s="166"/>
      <c r="J20" s="166"/>
      <c r="K20" s="166"/>
      <c r="L20" s="166"/>
      <c r="M20" s="166"/>
      <c r="N20" s="166"/>
      <c r="O20" s="166"/>
      <c r="P20" s="166"/>
      <c r="Q20" s="166"/>
      <c r="R20" s="166"/>
    </row>
    <row r="21" spans="1:18" x14ac:dyDescent="0.25">
      <c r="A21" s="158"/>
      <c r="B21" s="157" t="s">
        <v>63</v>
      </c>
      <c r="C21" s="171">
        <f>ROUND(SUM(C16:C20),2)</f>
        <v>27.97</v>
      </c>
      <c r="D21" s="171">
        <f>ROUND(SUM(D16:D20),2)</f>
        <v>52.07</v>
      </c>
      <c r="E21" s="171">
        <f>ROUND(SUM(E16:E20),2)</f>
        <v>70.180000000000007</v>
      </c>
      <c r="F21" s="171">
        <f>(SUM(F16:F20))</f>
        <v>91.96801210000001</v>
      </c>
      <c r="G21" s="171">
        <f>(SUM(G16:G20))</f>
        <v>131.17128629999999</v>
      </c>
      <c r="H21" s="172">
        <v>129.61346354400001</v>
      </c>
      <c r="I21" s="171">
        <f t="shared" ref="I21:R21" si="1">(SUM(I16:I20))</f>
        <v>178.3068055</v>
      </c>
      <c r="J21" s="171">
        <f t="shared" si="1"/>
        <v>264.58436153813096</v>
      </c>
      <c r="K21" s="171">
        <f t="shared" si="1"/>
        <v>390.07961531999996</v>
      </c>
      <c r="L21" s="171">
        <f t="shared" si="1"/>
        <v>407.25184388192667</v>
      </c>
      <c r="M21" s="171">
        <f t="shared" si="1"/>
        <v>464.72397509797895</v>
      </c>
      <c r="N21" s="171">
        <f t="shared" si="1"/>
        <v>551.371877773047</v>
      </c>
      <c r="O21" s="171">
        <f t="shared" si="1"/>
        <v>651.88946928964651</v>
      </c>
      <c r="P21" s="171">
        <f t="shared" si="1"/>
        <v>728.70508624079866</v>
      </c>
      <c r="Q21" s="171">
        <f t="shared" si="1"/>
        <v>813.68937166059243</v>
      </c>
      <c r="R21" s="171">
        <f t="shared" si="1"/>
        <v>954.58406445367848</v>
      </c>
    </row>
    <row r="22" spans="1:18" x14ac:dyDescent="0.25">
      <c r="A22" s="158"/>
      <c r="B22" s="157"/>
      <c r="C22" s="171"/>
      <c r="D22" s="171"/>
      <c r="E22" s="171"/>
      <c r="F22" s="171"/>
      <c r="G22" s="171"/>
      <c r="H22" s="172"/>
      <c r="I22" s="171"/>
      <c r="J22" s="171">
        <f>($I22/(+$I$22+$I$33+$I$34+$I$37))*((+$I$22+$I$33+$I$34+$I$37)+SUM('P&amp;L'!$J$26:J26))</f>
        <v>0</v>
      </c>
      <c r="K22" s="171"/>
      <c r="L22" s="171">
        <f>($I22/(+$I$22+$I$33+$I$34+$I$37))*((+$I$22+$I$33+$I$34+$I$37)+SUM('P&amp;L'!$J$26:L26))</f>
        <v>0</v>
      </c>
      <c r="M22" s="171">
        <f>($I22/(+$I$22+$I$33+$I$34+$I$37))*((+$I$22+$I$33+$I$34+$I$37)+SUM('P&amp;L'!$J$26:M26))</f>
        <v>0</v>
      </c>
      <c r="N22" s="171">
        <f>($I22/(+$I$22+$I$33+$I$34+$I$37))*((+$I$22+$I$33+$I$34+$I$37)+SUM('P&amp;L'!$J$26:N26))</f>
        <v>0</v>
      </c>
      <c r="O22" s="171">
        <f>($I22/(+$I$22+$I$33+$I$34+$I$37))*((+$I$22+$I$33+$I$34+$I$37)+SUM('P&amp;L'!$J$26:O26))</f>
        <v>0</v>
      </c>
      <c r="P22" s="171">
        <f>($I22/(+$I$22+$I$33+$I$34+$I$37))*((+$I$22+$I$33+$I$34+$I$37)+SUM('P&amp;L'!$J$26:P26))</f>
        <v>0</v>
      </c>
      <c r="Q22" s="171">
        <f>($I22/(+$I$22+$I$33+$I$34+$I$37))*((+$I$22+$I$33+$I$34+$I$37)+SUM('P&amp;L'!$J$26:Q26))</f>
        <v>0</v>
      </c>
      <c r="R22" s="171">
        <f>($I22/(+$I$22+$I$33+$I$34+$I$37))*((+$I$22+$I$33+$I$34+$I$37)+SUM('P&amp;L'!$J$26:R26))</f>
        <v>0</v>
      </c>
    </row>
    <row r="23" spans="1:18" x14ac:dyDescent="0.25">
      <c r="A23" s="156" t="s">
        <v>194</v>
      </c>
      <c r="B23" s="157" t="s">
        <v>195</v>
      </c>
      <c r="C23" s="171">
        <f>ROUND(C14-C21,2)</f>
        <v>12</v>
      </c>
      <c r="D23" s="171">
        <f>ROUND(D14-D21,2)</f>
        <v>14.21</v>
      </c>
      <c r="E23" s="171">
        <f>ROUND(E14-E21,2)</f>
        <v>18.43</v>
      </c>
      <c r="F23" s="171">
        <f>F14-F21</f>
        <v>23.816880880645144</v>
      </c>
      <c r="G23" s="171">
        <f>G14-G21</f>
        <v>26.034796965489477</v>
      </c>
      <c r="H23" s="172">
        <v>29.264005955999977</v>
      </c>
      <c r="I23" s="171">
        <f t="shared" ref="I23:R23" si="2">I14-I21</f>
        <v>49.023127100000011</v>
      </c>
      <c r="J23" s="171">
        <f t="shared" si="2"/>
        <v>100.35023924680257</v>
      </c>
      <c r="K23" s="171">
        <f t="shared" si="2"/>
        <v>192.32308468000014</v>
      </c>
      <c r="L23" s="171">
        <f t="shared" si="2"/>
        <v>217.48366638157097</v>
      </c>
      <c r="M23" s="171">
        <f t="shared" si="2"/>
        <v>255.52807416381222</v>
      </c>
      <c r="N23" s="171">
        <f t="shared" si="2"/>
        <v>300.20901164957888</v>
      </c>
      <c r="O23" s="171">
        <f t="shared" si="2"/>
        <v>379.83747957885225</v>
      </c>
      <c r="P23" s="171">
        <f t="shared" si="2"/>
        <v>441.46277620209094</v>
      </c>
      <c r="Q23" s="171">
        <f t="shared" si="2"/>
        <v>522.55712843901608</v>
      </c>
      <c r="R23" s="171">
        <f t="shared" si="2"/>
        <v>635.85512068686182</v>
      </c>
    </row>
    <row r="24" spans="1:18" x14ac:dyDescent="0.25">
      <c r="A24" s="158">
        <v>1</v>
      </c>
      <c r="B24" s="164" t="s">
        <v>196</v>
      </c>
      <c r="C24" s="165">
        <v>0.27476119999999998</v>
      </c>
      <c r="D24" s="165">
        <v>0.32719160000000003</v>
      </c>
      <c r="E24" s="180">
        <v>0.73037560000000001</v>
      </c>
      <c r="F24" s="166">
        <v>0.86844252653325404</v>
      </c>
      <c r="G24" s="166">
        <v>1.6132389</v>
      </c>
      <c r="H24" s="169">
        <v>1.668903</v>
      </c>
      <c r="I24" s="166">
        <v>2.3362425</v>
      </c>
      <c r="J24" s="166">
        <v>3.2124974909153625</v>
      </c>
      <c r="K24" s="166">
        <v>8.1753</v>
      </c>
      <c r="L24" s="166">
        <f>'BS '!L46-'BS '!K46</f>
        <v>8.2855813548189943</v>
      </c>
      <c r="M24" s="166">
        <f>'BS '!M46-'BS '!L46</f>
        <v>8.6105813548189971</v>
      </c>
      <c r="N24" s="166">
        <f>'BS '!N46-'BS '!M46</f>
        <v>9.195581354818998</v>
      </c>
      <c r="O24" s="166">
        <f>'BS '!O46-'BS '!N46</f>
        <v>9.8455813548189965</v>
      </c>
      <c r="P24" s="166">
        <f>'BS '!P46-'BS '!O46</f>
        <v>10.560581354818993</v>
      </c>
      <c r="Q24" s="166">
        <f>'BS '!Q46-'BS '!P46</f>
        <v>11.340581354818994</v>
      </c>
      <c r="R24" s="166">
        <f>'BS '!R46-'BS '!Q46</f>
        <v>12.185581354818993</v>
      </c>
    </row>
    <row r="25" spans="1:18" x14ac:dyDescent="0.25">
      <c r="A25" s="158">
        <v>2</v>
      </c>
      <c r="B25" s="164" t="s">
        <v>197</v>
      </c>
      <c r="C25" s="181">
        <v>0</v>
      </c>
      <c r="D25" s="181">
        <v>0</v>
      </c>
      <c r="E25" s="166">
        <v>0</v>
      </c>
      <c r="F25" s="166">
        <v>0</v>
      </c>
      <c r="G25" s="166">
        <v>0</v>
      </c>
      <c r="H25" s="169"/>
      <c r="I25" s="166"/>
      <c r="J25" s="166">
        <v>0</v>
      </c>
      <c r="K25" s="166"/>
      <c r="L25" s="170">
        <v>0</v>
      </c>
      <c r="M25" s="170">
        <v>0</v>
      </c>
      <c r="N25" s="170">
        <v>0</v>
      </c>
      <c r="O25" s="170">
        <v>0</v>
      </c>
      <c r="P25" s="170">
        <v>0</v>
      </c>
      <c r="Q25" s="170">
        <v>0</v>
      </c>
      <c r="R25" s="170">
        <v>0</v>
      </c>
    </row>
    <row r="26" spans="1:18" x14ac:dyDescent="0.25">
      <c r="A26" s="158">
        <v>3</v>
      </c>
      <c r="B26" s="164" t="s">
        <v>198</v>
      </c>
      <c r="C26" s="181">
        <v>0.4371177</v>
      </c>
      <c r="D26" s="181">
        <v>0.15762298499999997</v>
      </c>
      <c r="E26" s="180">
        <v>1.4829147</v>
      </c>
      <c r="F26" s="166">
        <v>1.1384812</v>
      </c>
      <c r="G26" s="166">
        <v>3.8657067000000001</v>
      </c>
      <c r="H26" s="166">
        <v>11.1268318</v>
      </c>
      <c r="I26" s="166">
        <v>6.6369021999999998</v>
      </c>
      <c r="J26" s="166">
        <v>8.8024388479999995</v>
      </c>
      <c r="K26" s="166">
        <f>5508.4/100</f>
        <v>55.083999999999996</v>
      </c>
      <c r="L26" s="166">
        <v>49.997762786810007</v>
      </c>
      <c r="M26" s="166">
        <v>36.576220036583919</v>
      </c>
      <c r="N26" s="166">
        <v>25.655168130186112</v>
      </c>
      <c r="O26" s="166">
        <v>34.929883747109272</v>
      </c>
      <c r="P26" s="166">
        <v>20.56756303244191</v>
      </c>
      <c r="Q26" s="166">
        <v>27.506932824224464</v>
      </c>
      <c r="R26" s="166">
        <v>34.284947220059621</v>
      </c>
    </row>
    <row r="27" spans="1:18" x14ac:dyDescent="0.25">
      <c r="A27" s="158">
        <v>4</v>
      </c>
      <c r="B27" s="164" t="s">
        <v>199</v>
      </c>
      <c r="C27" s="181">
        <v>0.60240510000000003</v>
      </c>
      <c r="D27" s="181">
        <v>1.4530741199999999</v>
      </c>
      <c r="E27" s="166">
        <v>2.4781955</v>
      </c>
      <c r="F27" s="166">
        <v>3.2217362</v>
      </c>
      <c r="G27" s="166">
        <v>1.7335833</v>
      </c>
      <c r="H27" s="169">
        <v>2.7848641999999999</v>
      </c>
      <c r="I27" s="166">
        <v>7.1254787000000004</v>
      </c>
      <c r="J27" s="166">
        <v>12.844269600000001</v>
      </c>
      <c r="K27" s="166">
        <v>23.5591005</v>
      </c>
      <c r="L27" s="166">
        <v>38.972459200000003</v>
      </c>
      <c r="M27" s="166">
        <v>37.234577152</v>
      </c>
      <c r="N27" s="166">
        <v>44.559204006400009</v>
      </c>
      <c r="O27" s="166">
        <v>55.169422904639994</v>
      </c>
      <c r="P27" s="166">
        <v>59.78357028021184</v>
      </c>
      <c r="Q27" s="166">
        <v>68.082860559489362</v>
      </c>
      <c r="R27" s="166">
        <v>81.005509363668097</v>
      </c>
    </row>
    <row r="28" spans="1:18" x14ac:dyDescent="0.25">
      <c r="A28" s="158">
        <v>5</v>
      </c>
      <c r="B28" s="164" t="s">
        <v>200</v>
      </c>
      <c r="C28" s="181">
        <v>0</v>
      </c>
      <c r="D28" s="181">
        <v>0</v>
      </c>
      <c r="E28" s="166">
        <v>0</v>
      </c>
      <c r="F28" s="166">
        <v>0</v>
      </c>
      <c r="G28" s="166">
        <v>0</v>
      </c>
      <c r="H28" s="169"/>
      <c r="I28" s="166">
        <v>0</v>
      </c>
      <c r="J28" s="166">
        <v>0</v>
      </c>
      <c r="K28" s="166"/>
      <c r="L28" s="170">
        <v>0</v>
      </c>
      <c r="M28" s="170">
        <v>0</v>
      </c>
      <c r="N28" s="170">
        <v>0</v>
      </c>
      <c r="O28" s="170">
        <v>0</v>
      </c>
      <c r="P28" s="170">
        <v>0</v>
      </c>
      <c r="Q28" s="170">
        <v>0</v>
      </c>
      <c r="R28" s="170">
        <v>0</v>
      </c>
    </row>
    <row r="29" spans="1:18" x14ac:dyDescent="0.25">
      <c r="A29" s="158">
        <v>6</v>
      </c>
      <c r="B29" s="164" t="s">
        <v>201</v>
      </c>
      <c r="C29" s="181">
        <v>0</v>
      </c>
      <c r="D29" s="181">
        <v>0</v>
      </c>
      <c r="E29" s="166">
        <v>0</v>
      </c>
      <c r="F29" s="166">
        <v>0</v>
      </c>
      <c r="G29" s="166">
        <v>0</v>
      </c>
      <c r="H29" s="169"/>
      <c r="I29" s="166">
        <v>0</v>
      </c>
      <c r="J29" s="166">
        <v>0</v>
      </c>
      <c r="K29" s="166"/>
      <c r="L29" s="170">
        <v>0</v>
      </c>
      <c r="M29" s="170">
        <v>0</v>
      </c>
      <c r="N29" s="170">
        <v>0</v>
      </c>
      <c r="O29" s="170">
        <v>0</v>
      </c>
      <c r="P29" s="170">
        <v>0</v>
      </c>
      <c r="Q29" s="170">
        <v>0</v>
      </c>
      <c r="R29" s="170">
        <v>0</v>
      </c>
    </row>
    <row r="30" spans="1:18" x14ac:dyDescent="0.25">
      <c r="A30" s="156" t="s">
        <v>202</v>
      </c>
      <c r="B30" s="157" t="s">
        <v>203</v>
      </c>
      <c r="C30" s="171">
        <f>ROUND(C23-SUM(C24:C29),2)</f>
        <v>10.69</v>
      </c>
      <c r="D30" s="171">
        <f>ROUND(D23-SUM(D24:D29),2)</f>
        <v>12.27</v>
      </c>
      <c r="E30" s="171">
        <f>ROUND(E23-SUM(E24:E29),2)</f>
        <v>13.74</v>
      </c>
      <c r="F30" s="171">
        <f>(F23-SUM(F24:F29))</f>
        <v>18.58822095411189</v>
      </c>
      <c r="G30" s="171">
        <f>(G23-SUM(G24:G29))</f>
        <v>18.822268065489475</v>
      </c>
      <c r="H30" s="172">
        <v>13.683406955999978</v>
      </c>
      <c r="I30" s="182">
        <f>(I23-SUM(I24:I29))</f>
        <v>32.92450370000001</v>
      </c>
      <c r="J30" s="182">
        <f>(J23-SUM(J24:J29))</f>
        <v>75.491033307887207</v>
      </c>
      <c r="K30" s="182">
        <f t="shared" ref="K30:R30" si="3">(K23-SUM(K24:K29))</f>
        <v>105.50468418000014</v>
      </c>
      <c r="L30" s="182">
        <f t="shared" si="3"/>
        <v>120.22786303994197</v>
      </c>
      <c r="M30" s="182">
        <f t="shared" si="3"/>
        <v>173.10669562040931</v>
      </c>
      <c r="N30" s="182">
        <f t="shared" si="3"/>
        <v>220.79905815817375</v>
      </c>
      <c r="O30" s="182">
        <f t="shared" si="3"/>
        <v>279.892591572284</v>
      </c>
      <c r="P30" s="182">
        <f t="shared" si="3"/>
        <v>350.55106153461816</v>
      </c>
      <c r="Q30" s="182">
        <f t="shared" si="3"/>
        <v>415.62675370048328</v>
      </c>
      <c r="R30" s="182">
        <f t="shared" si="3"/>
        <v>508.37908274831511</v>
      </c>
    </row>
    <row r="31" spans="1:18" x14ac:dyDescent="0.25">
      <c r="A31" s="158">
        <v>1</v>
      </c>
      <c r="B31" s="164" t="s">
        <v>204</v>
      </c>
      <c r="C31" s="181">
        <v>3.6366098</v>
      </c>
      <c r="D31" s="181">
        <v>4.4701247000000004</v>
      </c>
      <c r="E31" s="166">
        <v>5.2904646</v>
      </c>
      <c r="F31" s="166">
        <v>7.1644576999999998</v>
      </c>
      <c r="G31" s="166">
        <v>9.0811972000000001</v>
      </c>
      <c r="H31" s="169">
        <v>6.3914086000000001</v>
      </c>
      <c r="I31" s="166">
        <v>12.8814572</v>
      </c>
      <c r="J31" s="166">
        <v>26.255703878349998</v>
      </c>
      <c r="K31" s="166">
        <v>38.743200000000002</v>
      </c>
      <c r="L31" s="166">
        <f t="shared" ref="L31:R31" si="4">L30*25.17%</f>
        <v>30.261353127153399</v>
      </c>
      <c r="M31" s="166">
        <f t="shared" si="4"/>
        <v>43.570955287657029</v>
      </c>
      <c r="N31" s="166">
        <f t="shared" si="4"/>
        <v>55.575122938412342</v>
      </c>
      <c r="O31" s="166">
        <f t="shared" si="4"/>
        <v>70.4489652987439</v>
      </c>
      <c r="P31" s="166">
        <f t="shared" si="4"/>
        <v>88.233702188263408</v>
      </c>
      <c r="Q31" s="166">
        <f t="shared" si="4"/>
        <v>104.61325390641166</v>
      </c>
      <c r="R31" s="166">
        <f t="shared" si="4"/>
        <v>127.95901512775093</v>
      </c>
    </row>
    <row r="32" spans="1:18" x14ac:dyDescent="0.25">
      <c r="A32" s="158">
        <v>2</v>
      </c>
      <c r="B32" s="164" t="s">
        <v>205</v>
      </c>
      <c r="C32" s="181">
        <v>-0.13504070000000001</v>
      </c>
      <c r="D32" s="181">
        <v>-0.20441790000000001</v>
      </c>
      <c r="E32" s="166">
        <v>-0.58865330000000005</v>
      </c>
      <c r="F32" s="166">
        <v>-0.58714840000000001</v>
      </c>
      <c r="G32" s="166">
        <v>-2.5574891000000002</v>
      </c>
      <c r="H32" s="169">
        <v>-2.7431570999999999</v>
      </c>
      <c r="I32" s="166">
        <v>-1.9091848</v>
      </c>
      <c r="J32" s="183">
        <v>-2.9948679999999999</v>
      </c>
      <c r="K32" s="183">
        <v>-11.7752</v>
      </c>
      <c r="L32" s="184">
        <v>0</v>
      </c>
      <c r="M32" s="184">
        <v>0</v>
      </c>
      <c r="N32" s="184">
        <v>0</v>
      </c>
      <c r="O32" s="184">
        <v>0</v>
      </c>
      <c r="P32" s="184">
        <v>0</v>
      </c>
      <c r="Q32" s="184">
        <v>0</v>
      </c>
      <c r="R32" s="184">
        <v>0</v>
      </c>
    </row>
    <row r="33" spans="1:18" x14ac:dyDescent="0.25">
      <c r="A33" s="158">
        <v>3</v>
      </c>
      <c r="B33" s="164" t="s">
        <v>206</v>
      </c>
      <c r="C33" s="181">
        <v>0</v>
      </c>
      <c r="D33" s="181">
        <v>0</v>
      </c>
      <c r="E33" s="166">
        <v>0</v>
      </c>
      <c r="F33" s="166">
        <v>0</v>
      </c>
      <c r="G33" s="166">
        <v>0</v>
      </c>
      <c r="H33" s="169"/>
      <c r="I33" s="166"/>
      <c r="J33" s="171">
        <f>($I33/(+$I$22+$I$33+$I$34+$I$37))*((+$I$22+$I$33+$I$34+$I$37)+SUM('P&amp;L'!$J$26:J26))</f>
        <v>0</v>
      </c>
      <c r="K33" s="171"/>
      <c r="L33" s="171">
        <f>($I33/(+$I$22+$I$33+$I$34+$I$37))*((+$I$22+$I$33+$I$34+$I$37)+SUM('P&amp;L'!$J$26:L26))</f>
        <v>0</v>
      </c>
      <c r="M33" s="171">
        <f>($I33/(+$I$22+$I$33+$I$34+$I$37))*((+$I$22+$I$33+$I$34+$I$37)+SUM('P&amp;L'!$J$26:M26))</f>
        <v>0</v>
      </c>
      <c r="N33" s="171">
        <f>($I33/(+$I$22+$I$33+$I$34+$I$37))*((+$I$22+$I$33+$I$34+$I$37)+SUM('P&amp;L'!$J$26:N26))</f>
        <v>0</v>
      </c>
      <c r="O33" s="171">
        <f>($I33/(+$I$22+$I$33+$I$34+$I$37))*((+$I$22+$I$33+$I$34+$I$37)+SUM('P&amp;L'!$J$26:O26))</f>
        <v>0</v>
      </c>
      <c r="P33" s="171">
        <f>($I33/(+$I$22+$I$33+$I$34+$I$37))*((+$I$22+$I$33+$I$34+$I$37)+SUM('P&amp;L'!$J$26:P26))</f>
        <v>0</v>
      </c>
      <c r="Q33" s="171">
        <f>($I33/(+$I$22+$I$33+$I$34+$I$37))*((+$I$22+$I$33+$I$34+$I$37)+SUM('P&amp;L'!$J$26:Q26))</f>
        <v>0</v>
      </c>
      <c r="R33" s="171">
        <f>($I33/(+$I$22+$I$33+$I$34+$I$37))*((+$I$22+$I$33+$I$34+$I$37)+SUM('P&amp;L'!$J$26:R26))</f>
        <v>0</v>
      </c>
    </row>
    <row r="34" spans="1:18" x14ac:dyDescent="0.25">
      <c r="A34" s="156" t="s">
        <v>207</v>
      </c>
      <c r="B34" s="157" t="s">
        <v>49</v>
      </c>
      <c r="C34" s="171">
        <f>ROUND(C30-C31-C32-C33,2)</f>
        <v>7.19</v>
      </c>
      <c r="D34" s="171">
        <f>ROUND(D30-D31-D32-D33,2)</f>
        <v>8</v>
      </c>
      <c r="E34" s="171">
        <f>ROUND(E30-E31-E32-E33,2)</f>
        <v>9.0399999999999991</v>
      </c>
      <c r="F34" s="171">
        <f>(F30-F31-F32-F33)</f>
        <v>12.01091165411189</v>
      </c>
      <c r="G34" s="171">
        <f>(G30-G31-G32-G33)</f>
        <v>12.298559965489474</v>
      </c>
      <c r="H34" s="172">
        <v>10.035155455999977</v>
      </c>
      <c r="I34" s="182">
        <f>(I30-I31-I32-I33)</f>
        <v>21.952231300000008</v>
      </c>
      <c r="J34" s="182">
        <f>(J30-J31-J32-J33)</f>
        <v>52.230197429537206</v>
      </c>
      <c r="K34" s="182">
        <f t="shared" ref="K34:R34" si="5">(K30-K31-K32-K33)</f>
        <v>78.536684180000137</v>
      </c>
      <c r="L34" s="182">
        <f t="shared" si="5"/>
        <v>89.966509912788567</v>
      </c>
      <c r="M34" s="182">
        <f t="shared" si="5"/>
        <v>129.53574033275228</v>
      </c>
      <c r="N34" s="182">
        <f t="shared" si="5"/>
        <v>165.22393521976142</v>
      </c>
      <c r="O34" s="182">
        <f t="shared" si="5"/>
        <v>209.4436262735401</v>
      </c>
      <c r="P34" s="182">
        <f t="shared" si="5"/>
        <v>262.31735934635475</v>
      </c>
      <c r="Q34" s="182">
        <f t="shared" si="5"/>
        <v>311.01349979407161</v>
      </c>
      <c r="R34" s="182">
        <f t="shared" si="5"/>
        <v>380.42006762056417</v>
      </c>
    </row>
    <row r="35" spans="1:18" x14ac:dyDescent="0.25">
      <c r="A35" s="158">
        <v>1</v>
      </c>
      <c r="B35" s="164" t="s">
        <v>208</v>
      </c>
      <c r="C35" s="181">
        <v>0</v>
      </c>
      <c r="D35" s="181">
        <v>0</v>
      </c>
      <c r="E35" s="166">
        <v>0</v>
      </c>
      <c r="F35" s="166">
        <v>0</v>
      </c>
      <c r="G35" s="166">
        <v>0</v>
      </c>
      <c r="H35" s="169"/>
      <c r="I35" s="166">
        <v>0</v>
      </c>
      <c r="J35" s="166">
        <v>0</v>
      </c>
      <c r="K35" s="166"/>
      <c r="L35" s="184">
        <v>0</v>
      </c>
      <c r="M35" s="170">
        <v>0</v>
      </c>
      <c r="N35" s="184">
        <v>0</v>
      </c>
      <c r="O35" s="184">
        <v>0</v>
      </c>
      <c r="P35" s="184">
        <v>0</v>
      </c>
      <c r="Q35" s="184">
        <v>0</v>
      </c>
      <c r="R35" s="184">
        <v>0</v>
      </c>
    </row>
    <row r="36" spans="1:18" x14ac:dyDescent="0.25">
      <c r="A36" s="156" t="s">
        <v>209</v>
      </c>
      <c r="B36" s="157" t="s">
        <v>210</v>
      </c>
      <c r="C36" s="171">
        <f>C34-C35</f>
        <v>7.19</v>
      </c>
      <c r="D36" s="171">
        <f>D34-D35</f>
        <v>8</v>
      </c>
      <c r="E36" s="171">
        <f>E34-E35</f>
        <v>9.0399999999999991</v>
      </c>
      <c r="F36" s="171">
        <f>F34-F35</f>
        <v>12.01091165411189</v>
      </c>
      <c r="G36" s="171">
        <f>G34-G35</f>
        <v>12.298559965489474</v>
      </c>
      <c r="H36" s="172">
        <v>10.035155455999977</v>
      </c>
      <c r="I36" s="171">
        <f>I34-I35</f>
        <v>21.952231300000008</v>
      </c>
      <c r="J36" s="171">
        <f>J34-J35</f>
        <v>52.230197429537206</v>
      </c>
      <c r="K36" s="171">
        <f t="shared" ref="K36:R36" si="6">K34-K35</f>
        <v>78.536684180000137</v>
      </c>
      <c r="L36" s="171">
        <f t="shared" si="6"/>
        <v>89.966509912788567</v>
      </c>
      <c r="M36" s="171">
        <f t="shared" si="6"/>
        <v>129.53574033275228</v>
      </c>
      <c r="N36" s="171">
        <f t="shared" si="6"/>
        <v>165.22393521976142</v>
      </c>
      <c r="O36" s="171">
        <f t="shared" si="6"/>
        <v>209.4436262735401</v>
      </c>
      <c r="P36" s="171">
        <f t="shared" si="6"/>
        <v>262.31735934635475</v>
      </c>
      <c r="Q36" s="171">
        <f t="shared" si="6"/>
        <v>311.01349979407161</v>
      </c>
      <c r="R36" s="171">
        <f t="shared" si="6"/>
        <v>380.42006762056417</v>
      </c>
    </row>
    <row r="37" spans="1:18" x14ac:dyDescent="0.25">
      <c r="A37" s="156" t="s">
        <v>211</v>
      </c>
      <c r="B37" s="157" t="s">
        <v>212</v>
      </c>
      <c r="C37" s="171">
        <f>C34+C28+C26+C24</f>
        <v>7.9018789000000007</v>
      </c>
      <c r="D37" s="171">
        <f>D34+D28+D26+D24</f>
        <v>8.4848145850000005</v>
      </c>
      <c r="E37" s="171">
        <f>E34+E28+E26+E24</f>
        <v>11.2532903</v>
      </c>
      <c r="F37" s="171">
        <f>F34+F28+F26+F24</f>
        <v>14.017835380645144</v>
      </c>
      <c r="G37" s="171">
        <f>G34+G28+G26+G24</f>
        <v>17.777505565489474</v>
      </c>
      <c r="H37" s="172">
        <v>22.830890255999975</v>
      </c>
      <c r="I37" s="171">
        <f>I34+I28+I26+I24</f>
        <v>30.925376000000011</v>
      </c>
      <c r="J37" s="171">
        <f>J34+J28+J26+J24</f>
        <v>64.245133768452575</v>
      </c>
      <c r="K37" s="171">
        <f t="shared" ref="K37:R37" si="7">K34+K28+K26+K24</f>
        <v>141.79598418000012</v>
      </c>
      <c r="L37" s="171">
        <f t="shared" si="7"/>
        <v>148.24985405441757</v>
      </c>
      <c r="M37" s="171">
        <f t="shared" si="7"/>
        <v>174.72254172415521</v>
      </c>
      <c r="N37" s="171">
        <f t="shared" si="7"/>
        <v>200.07468470476653</v>
      </c>
      <c r="O37" s="171">
        <f t="shared" si="7"/>
        <v>254.21909137546837</v>
      </c>
      <c r="P37" s="171">
        <f t="shared" si="7"/>
        <v>293.44550373361562</v>
      </c>
      <c r="Q37" s="171">
        <f t="shared" si="7"/>
        <v>349.86101397311506</v>
      </c>
      <c r="R37" s="171">
        <f t="shared" si="7"/>
        <v>426.89059619544275</v>
      </c>
    </row>
    <row r="38" spans="1:18" x14ac:dyDescent="0.25">
      <c r="K38" s="185"/>
      <c r="L38" s="185"/>
      <c r="M38" s="185"/>
      <c r="N38" s="185"/>
      <c r="O38" s="185"/>
      <c r="P38" s="185"/>
      <c r="Q38" s="185"/>
      <c r="R38" s="185"/>
    </row>
    <row r="39" spans="1:18" x14ac:dyDescent="0.25">
      <c r="K39" s="185"/>
      <c r="L39" s="185"/>
      <c r="M39" s="185"/>
      <c r="N39" s="185"/>
      <c r="O39" s="185"/>
      <c r="P39" s="185"/>
      <c r="Q39" s="185"/>
      <c r="R39" s="185"/>
    </row>
    <row r="40" spans="1:18" x14ac:dyDescent="0.25">
      <c r="K40" s="185"/>
      <c r="L40" s="185"/>
      <c r="M40" s="185"/>
      <c r="N40" s="185"/>
      <c r="O40" s="185"/>
      <c r="P40" s="185"/>
      <c r="Q40" s="185"/>
      <c r="R40" s="185"/>
    </row>
    <row r="41" spans="1:18" x14ac:dyDescent="0.25">
      <c r="K41" s="185"/>
      <c r="L41" s="185"/>
      <c r="M41" s="185"/>
      <c r="N41" s="185"/>
      <c r="O41" s="185"/>
      <c r="P41" s="185"/>
      <c r="Q41" s="185"/>
      <c r="R41" s="185"/>
    </row>
    <row r="42" spans="1:18" x14ac:dyDescent="0.25">
      <c r="K42" s="185"/>
      <c r="L42" s="185"/>
      <c r="M42" s="185"/>
      <c r="N42" s="185"/>
      <c r="O42" s="185"/>
      <c r="P42" s="185"/>
      <c r="Q42" s="185"/>
      <c r="R42" s="185"/>
    </row>
    <row r="43" spans="1:18" x14ac:dyDescent="0.25">
      <c r="K43" s="185"/>
      <c r="L43" s="185"/>
      <c r="M43" s="185"/>
      <c r="N43" s="185"/>
      <c r="O43" s="185"/>
      <c r="P43" s="185"/>
      <c r="Q43" s="185"/>
      <c r="R43" s="185"/>
    </row>
    <row r="44" spans="1:18" x14ac:dyDescent="0.25">
      <c r="K44" s="185"/>
      <c r="L44" s="185"/>
      <c r="M44" s="185"/>
      <c r="N44" s="185"/>
      <c r="O44" s="185"/>
      <c r="P44" s="185"/>
      <c r="Q44" s="185"/>
      <c r="R44" s="185"/>
    </row>
    <row r="45" spans="1:18" x14ac:dyDescent="0.25">
      <c r="J45" s="185"/>
      <c r="K45" s="185"/>
      <c r="L45" s="185"/>
      <c r="M45" s="185"/>
      <c r="N45" s="185"/>
      <c r="O45" s="185"/>
      <c r="P45" s="185"/>
      <c r="Q45" s="185"/>
      <c r="R45" s="185"/>
    </row>
    <row r="46" spans="1:18" x14ac:dyDescent="0.25">
      <c r="K46" s="185"/>
      <c r="L46" s="185"/>
      <c r="M46" s="185"/>
      <c r="N46" s="185"/>
      <c r="O46" s="185"/>
      <c r="P46" s="185"/>
      <c r="Q46" s="185"/>
      <c r="R46" s="185"/>
    </row>
    <row r="47" spans="1:18" x14ac:dyDescent="0.25">
      <c r="K47" s="185"/>
      <c r="L47" s="185"/>
      <c r="M47" s="185"/>
      <c r="N47" s="185"/>
      <c r="O47" s="185"/>
      <c r="P47" s="185"/>
      <c r="Q47" s="185"/>
      <c r="R47" s="185"/>
    </row>
    <row r="48" spans="1:18" x14ac:dyDescent="0.25">
      <c r="J48" s="186"/>
      <c r="K48" s="186"/>
      <c r="L48" s="186"/>
      <c r="M48" s="186"/>
      <c r="N48" s="186"/>
      <c r="O48" s="186"/>
      <c r="P48" s="186"/>
      <c r="Q48" s="186"/>
      <c r="R48" s="186"/>
    </row>
    <row r="49" spans="11:18" x14ac:dyDescent="0.25">
      <c r="K49" s="186"/>
      <c r="L49" s="186"/>
      <c r="M49" s="186"/>
      <c r="N49" s="186"/>
      <c r="O49" s="186"/>
      <c r="P49" s="186"/>
      <c r="Q49" s="186"/>
      <c r="R49" s="186"/>
    </row>
    <row r="50" spans="11:18" x14ac:dyDescent="0.25">
      <c r="K50" s="185"/>
      <c r="L50" s="185"/>
      <c r="M50" s="185"/>
      <c r="N50" s="185"/>
      <c r="O50" s="185"/>
      <c r="P50" s="185"/>
      <c r="Q50" s="185"/>
      <c r="R50" s="185"/>
    </row>
    <row r="51" spans="11:18" x14ac:dyDescent="0.25">
      <c r="K51" s="185"/>
      <c r="L51" s="185"/>
      <c r="M51" s="185"/>
      <c r="N51" s="185"/>
      <c r="O51" s="185"/>
      <c r="P51" s="185"/>
      <c r="Q51" s="185"/>
      <c r="R51" s="185"/>
    </row>
    <row r="52" spans="11:18" x14ac:dyDescent="0.25">
      <c r="K52" s="185"/>
      <c r="L52" s="185"/>
      <c r="M52" s="185"/>
      <c r="N52" s="185"/>
      <c r="O52" s="185"/>
      <c r="P52" s="185"/>
      <c r="Q52" s="185"/>
      <c r="R52" s="185"/>
    </row>
    <row r="53" spans="11:18" x14ac:dyDescent="0.25">
      <c r="K53" s="187"/>
      <c r="L53" s="187"/>
      <c r="M53" s="187"/>
      <c r="N53" s="187"/>
      <c r="O53" s="187"/>
      <c r="P53" s="187"/>
      <c r="Q53" s="187"/>
      <c r="R53" s="187"/>
    </row>
    <row r="54" spans="11:18" x14ac:dyDescent="0.25">
      <c r="K54" s="187"/>
      <c r="L54" s="187"/>
      <c r="M54" s="187"/>
      <c r="N54" s="187"/>
      <c r="O54" s="187"/>
      <c r="P54" s="187"/>
      <c r="Q54" s="187"/>
      <c r="R54" s="187"/>
    </row>
  </sheetData>
  <mergeCells count="2">
    <mergeCell ref="A4:A5"/>
    <mergeCell ref="B4:B5"/>
  </mergeCells>
  <pageMargins left="0.7" right="0.7" top="0.75" bottom="0.75" header="0.3" footer="0.3"/>
  <pageSetup paperSize="9" scale="60" orientation="portrait" r:id="rId1"/>
  <headerFooter>
    <oddFooter>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46"/>
  <sheetViews>
    <sheetView showGridLines="0" tabSelected="1" workbookViewId="0">
      <selection activeCell="K4" sqref="K4"/>
    </sheetView>
  </sheetViews>
  <sheetFormatPr defaultColWidth="9.140625" defaultRowHeight="13.5" x14ac:dyDescent="0.25"/>
  <cols>
    <col min="1" max="1" width="3.140625" style="189" customWidth="1"/>
    <col min="2" max="2" width="48.5703125" style="189" bestFit="1" customWidth="1"/>
    <col min="3" max="3" width="9" style="189" hidden="1" customWidth="1"/>
    <col min="4" max="4" width="10.7109375" style="189" customWidth="1"/>
    <col min="5" max="5" width="9" style="189" bestFit="1" customWidth="1"/>
    <col min="6" max="6" width="11.42578125" style="189" customWidth="1"/>
    <col min="7" max="7" width="9.140625" style="189"/>
    <col min="8" max="8" width="9.140625" style="189" customWidth="1"/>
    <col min="9" max="16384" width="9.140625" style="189"/>
  </cols>
  <sheetData>
    <row r="3" spans="2:14" ht="15" x14ac:dyDescent="0.3">
      <c r="B3" s="188" t="s">
        <v>213</v>
      </c>
    </row>
    <row r="4" spans="2:14" ht="15" x14ac:dyDescent="0.3">
      <c r="B4" s="188" t="s">
        <v>214</v>
      </c>
    </row>
    <row r="5" spans="2:14" ht="15" x14ac:dyDescent="0.25">
      <c r="B5" s="54"/>
      <c r="C5" s="190"/>
      <c r="D5" s="191"/>
    </row>
    <row r="6" spans="2:14" ht="15" x14ac:dyDescent="0.25">
      <c r="B6" s="54"/>
      <c r="C6" s="190"/>
      <c r="D6" s="191"/>
    </row>
    <row r="7" spans="2:14" ht="15" x14ac:dyDescent="0.3">
      <c r="B7" s="192" t="s">
        <v>215</v>
      </c>
      <c r="C7" s="193"/>
      <c r="D7" s="194"/>
      <c r="E7" s="195"/>
      <c r="F7" s="195"/>
      <c r="G7" s="195"/>
      <c r="H7" s="195"/>
      <c r="I7" s="196"/>
      <c r="J7" s="196" t="s">
        <v>216</v>
      </c>
    </row>
    <row r="8" spans="2:14" ht="15" x14ac:dyDescent="0.25">
      <c r="B8" s="197" t="s">
        <v>70</v>
      </c>
      <c r="C8" s="198" t="s">
        <v>3</v>
      </c>
      <c r="D8" s="198" t="str">
        <f>'BS '!L7</f>
        <v>2020-21</v>
      </c>
      <c r="E8" s="198" t="str">
        <f>'BS '!M7</f>
        <v>2021-22</v>
      </c>
      <c r="F8" s="198" t="str">
        <f>'BS '!N7</f>
        <v>2022-23</v>
      </c>
      <c r="G8" s="198" t="str">
        <f>'BS '!O7</f>
        <v>2023-24</v>
      </c>
      <c r="H8" s="198" t="str">
        <f>'BS '!P7</f>
        <v>2024-25</v>
      </c>
      <c r="I8" s="198" t="str">
        <f>'BS '!Q7</f>
        <v>2025-26</v>
      </c>
      <c r="J8" s="198" t="str">
        <f>'BS '!R7</f>
        <v>2026-27</v>
      </c>
    </row>
    <row r="9" spans="2:14" ht="15" x14ac:dyDescent="0.25">
      <c r="B9" s="197"/>
      <c r="C9" s="198" t="s">
        <v>11</v>
      </c>
      <c r="D9" s="198" t="str">
        <f>'BS '!L8</f>
        <v>Projected</v>
      </c>
      <c r="E9" s="198" t="str">
        <f>'BS '!M8</f>
        <v>Projected</v>
      </c>
      <c r="F9" s="198" t="str">
        <f>'BS '!N8</f>
        <v>Projected</v>
      </c>
      <c r="G9" s="198" t="str">
        <f>'BS '!O8</f>
        <v>Projected</v>
      </c>
      <c r="H9" s="198" t="str">
        <f>'BS '!P8</f>
        <v>Projected</v>
      </c>
      <c r="I9" s="198" t="str">
        <f>'BS '!Q8</f>
        <v>Projected</v>
      </c>
      <c r="J9" s="198" t="str">
        <f>'BS '!R8</f>
        <v>Projected</v>
      </c>
    </row>
    <row r="10" spans="2:14" x14ac:dyDescent="0.25">
      <c r="B10" s="199" t="s">
        <v>217</v>
      </c>
      <c r="C10" s="200">
        <f t="shared" ref="C10:J10" si="0">C28</f>
        <v>141.79598418000015</v>
      </c>
      <c r="D10" s="200">
        <f t="shared" si="0"/>
        <v>148.24985405441757</v>
      </c>
      <c r="E10" s="200">
        <f t="shared" si="0"/>
        <v>174.72254172415521</v>
      </c>
      <c r="F10" s="200">
        <f t="shared" si="0"/>
        <v>200.07468470476653</v>
      </c>
      <c r="G10" s="200">
        <f t="shared" si="0"/>
        <v>254.21909137546837</v>
      </c>
      <c r="H10" s="200">
        <f t="shared" si="0"/>
        <v>293.44550373361568</v>
      </c>
      <c r="I10" s="200">
        <f t="shared" si="0"/>
        <v>349.86101397311506</v>
      </c>
      <c r="J10" s="200">
        <f t="shared" si="0"/>
        <v>426.89059619544275</v>
      </c>
    </row>
    <row r="11" spans="2:14" x14ac:dyDescent="0.25">
      <c r="B11" s="199" t="s">
        <v>218</v>
      </c>
      <c r="C11" s="200">
        <f t="shared" ref="C11:J11" si="1">C36</f>
        <v>1004.8171396839998</v>
      </c>
      <c r="D11" s="200">
        <f t="shared" si="1"/>
        <v>950.53206399999999</v>
      </c>
      <c r="E11" s="200">
        <f t="shared" si="1"/>
        <v>1244.3390208000001</v>
      </c>
      <c r="F11" s="200">
        <f t="shared" si="1"/>
        <v>1487.5373145599997</v>
      </c>
      <c r="G11" s="200">
        <f t="shared" si="1"/>
        <v>1748.9781101760009</v>
      </c>
      <c r="H11" s="200">
        <f t="shared" si="1"/>
        <v>2787.7769161855995</v>
      </c>
      <c r="I11" s="200">
        <f t="shared" si="1"/>
        <v>2766.3078809974395</v>
      </c>
      <c r="J11" s="200">
        <f t="shared" si="1"/>
        <v>3274.6001226483349</v>
      </c>
    </row>
    <row r="12" spans="2:14" x14ac:dyDescent="0.25">
      <c r="B12" s="199" t="s">
        <v>219</v>
      </c>
      <c r="C12" s="200">
        <v>325.52034358714013</v>
      </c>
      <c r="D12" s="200">
        <f>'BS '!L50+'BS '!L58+'BS '!L69</f>
        <v>469.25972786645065</v>
      </c>
      <c r="E12" s="200">
        <f>'BS '!M50+'BS '!M58+'BS '!M69</f>
        <v>407.88139994216891</v>
      </c>
      <c r="F12" s="200">
        <f>'BS '!N50+'BS '!N58+'BS '!N69</f>
        <v>374.64496964482498</v>
      </c>
      <c r="G12" s="200">
        <f>'BS '!O50+'BS '!O58+'BS '!O69</f>
        <v>367.85199798292467</v>
      </c>
      <c r="H12" s="200">
        <f>'BS '!P50+'BS '!P58+'BS '!P69</f>
        <v>473.05699250289877</v>
      </c>
      <c r="I12" s="200">
        <f>'BS '!Q50+'BS '!Q58+'BS '!Q69</f>
        <v>504.89351404752944</v>
      </c>
      <c r="J12" s="200">
        <f>'BS '!R50+'BS '!R58+'BS '!R69</f>
        <v>511.75053027476895</v>
      </c>
      <c r="N12" s="201"/>
    </row>
    <row r="13" spans="2:14" x14ac:dyDescent="0.25">
      <c r="B13" s="199" t="s">
        <v>220</v>
      </c>
      <c r="C13" s="200">
        <f t="shared" ref="C13:J13" si="2">C38</f>
        <v>222.50169999999997</v>
      </c>
      <c r="D13" s="200">
        <f t="shared" si="2"/>
        <v>227.69240350609903</v>
      </c>
      <c r="E13" s="200">
        <f t="shared" si="2"/>
        <v>263.89367250576413</v>
      </c>
      <c r="F13" s="200">
        <f t="shared" si="2"/>
        <v>322.28782168979041</v>
      </c>
      <c r="G13" s="200">
        <f t="shared" si="2"/>
        <v>382.78033419597057</v>
      </c>
      <c r="H13" s="200">
        <f t="shared" si="2"/>
        <v>435.77059192188887</v>
      </c>
      <c r="I13" s="200">
        <f t="shared" si="2"/>
        <v>492.96369342688882</v>
      </c>
      <c r="J13" s="200">
        <f t="shared" si="2"/>
        <v>586.5424930555555</v>
      </c>
    </row>
    <row r="14" spans="2:14" x14ac:dyDescent="0.25">
      <c r="B14" s="199" t="s">
        <v>221</v>
      </c>
      <c r="C14" s="200">
        <f>Assumptions!D59</f>
        <v>235</v>
      </c>
      <c r="D14" s="200">
        <f>Assumptions!E59</f>
        <v>0</v>
      </c>
      <c r="E14" s="200">
        <f>Assumptions!F59</f>
        <v>0</v>
      </c>
      <c r="F14" s="200">
        <f>Assumptions!G59</f>
        <v>0</v>
      </c>
      <c r="G14" s="200">
        <f>Assumptions!H59</f>
        <v>150</v>
      </c>
      <c r="H14" s="200">
        <f>Assumptions!I59</f>
        <v>0</v>
      </c>
      <c r="I14" s="200">
        <f>Assumptions!J59</f>
        <v>0</v>
      </c>
      <c r="J14" s="200">
        <f>Assumptions!K59</f>
        <v>0</v>
      </c>
    </row>
    <row r="15" spans="2:14" ht="15" x14ac:dyDescent="0.3">
      <c r="B15" s="202" t="s">
        <v>222</v>
      </c>
      <c r="C15" s="203">
        <f t="shared" ref="C15:I15" si="3">SUM(C10:C14)</f>
        <v>1929.6351674511402</v>
      </c>
      <c r="D15" s="203">
        <f t="shared" si="3"/>
        <v>1795.7340494269672</v>
      </c>
      <c r="E15" s="203">
        <f t="shared" si="3"/>
        <v>2090.8366349720882</v>
      </c>
      <c r="F15" s="203">
        <f t="shared" si="3"/>
        <v>2384.5447905993815</v>
      </c>
      <c r="G15" s="203">
        <f t="shared" si="3"/>
        <v>2903.8295337303648</v>
      </c>
      <c r="H15" s="203">
        <f t="shared" si="3"/>
        <v>3990.0500043440024</v>
      </c>
      <c r="I15" s="203">
        <f t="shared" si="3"/>
        <v>4114.0261024449728</v>
      </c>
      <c r="J15" s="203">
        <f t="shared" ref="J15" si="4">SUM(J10:J14)</f>
        <v>4799.7837421741024</v>
      </c>
    </row>
    <row r="16" spans="2:14" x14ac:dyDescent="0.25">
      <c r="B16" s="204"/>
      <c r="C16" s="195"/>
      <c r="D16" s="195"/>
      <c r="E16" s="195"/>
      <c r="F16" s="195"/>
      <c r="G16" s="195"/>
      <c r="H16" s="195"/>
      <c r="I16" s="195"/>
      <c r="J16" s="195"/>
    </row>
    <row r="17" spans="2:10" x14ac:dyDescent="0.25">
      <c r="B17" s="199" t="s">
        <v>223</v>
      </c>
      <c r="C17" s="200">
        <f t="shared" ref="C17:J17" si="5">C40</f>
        <v>801.67813212799956</v>
      </c>
      <c r="D17" s="200">
        <f>D40</f>
        <v>1036.1027014003996</v>
      </c>
      <c r="E17" s="200">
        <f t="shared" si="5"/>
        <v>845.58871268797634</v>
      </c>
      <c r="F17" s="200">
        <f t="shared" si="5"/>
        <v>854.11721777630305</v>
      </c>
      <c r="G17" s="200">
        <f t="shared" si="5"/>
        <v>1197.0658726684444</v>
      </c>
      <c r="H17" s="200">
        <f t="shared" si="5"/>
        <v>1731.2208333333333</v>
      </c>
      <c r="I17" s="200">
        <f t="shared" si="5"/>
        <v>2048.333333333333</v>
      </c>
      <c r="J17" s="200">
        <f t="shared" si="5"/>
        <v>2087.7777777777778</v>
      </c>
    </row>
    <row r="18" spans="2:10" x14ac:dyDescent="0.25">
      <c r="B18" s="199" t="s">
        <v>224</v>
      </c>
      <c r="C18" s="200">
        <f t="shared" ref="C18:J18" si="6">C13</f>
        <v>222.50169999999997</v>
      </c>
      <c r="D18" s="200">
        <f t="shared" si="6"/>
        <v>227.69240350609903</v>
      </c>
      <c r="E18" s="200">
        <f t="shared" si="6"/>
        <v>263.89367250576413</v>
      </c>
      <c r="F18" s="200">
        <f t="shared" si="6"/>
        <v>322.28782168979041</v>
      </c>
      <c r="G18" s="200">
        <f t="shared" si="6"/>
        <v>382.78033419597057</v>
      </c>
      <c r="H18" s="200">
        <f t="shared" si="6"/>
        <v>435.77059192188887</v>
      </c>
      <c r="I18" s="200">
        <f t="shared" si="6"/>
        <v>492.96369342688882</v>
      </c>
      <c r="J18" s="200">
        <f t="shared" si="6"/>
        <v>586.5424930555555</v>
      </c>
    </row>
    <row r="19" spans="2:10" ht="15" x14ac:dyDescent="0.3">
      <c r="B19" s="202" t="s">
        <v>225</v>
      </c>
      <c r="C19" s="203">
        <f t="shared" ref="C19:J19" si="7">SUM(C17:C18)</f>
        <v>1024.1798321279996</v>
      </c>
      <c r="D19" s="203">
        <f t="shared" si="7"/>
        <v>1263.7951049064986</v>
      </c>
      <c r="E19" s="203">
        <f t="shared" si="7"/>
        <v>1109.4823851937404</v>
      </c>
      <c r="F19" s="203">
        <f t="shared" si="7"/>
        <v>1176.4050394660935</v>
      </c>
      <c r="G19" s="203">
        <f t="shared" si="7"/>
        <v>1579.8462068644149</v>
      </c>
      <c r="H19" s="203">
        <f t="shared" si="7"/>
        <v>2166.9914252552221</v>
      </c>
      <c r="I19" s="203">
        <f t="shared" si="7"/>
        <v>2541.2970267602218</v>
      </c>
      <c r="J19" s="203">
        <f t="shared" si="7"/>
        <v>2674.3202708333333</v>
      </c>
    </row>
    <row r="20" spans="2:10" x14ac:dyDescent="0.25">
      <c r="B20" s="204"/>
      <c r="C20" s="205"/>
      <c r="D20" s="205"/>
      <c r="E20" s="205"/>
      <c r="F20" s="205"/>
      <c r="G20" s="205"/>
      <c r="H20" s="205"/>
      <c r="I20" s="205"/>
      <c r="J20" s="205"/>
    </row>
    <row r="21" spans="2:10" ht="15" x14ac:dyDescent="0.3">
      <c r="B21" s="202" t="s">
        <v>226</v>
      </c>
      <c r="C21" s="203">
        <f t="shared" ref="C21:J21" si="8">C15/C19</f>
        <v>1.8840784664171935</v>
      </c>
      <c r="D21" s="203">
        <f t="shared" si="8"/>
        <v>1.4209060016574633</v>
      </c>
      <c r="E21" s="203">
        <f t="shared" si="8"/>
        <v>1.8845153946333104</v>
      </c>
      <c r="F21" s="203">
        <f t="shared" si="8"/>
        <v>2.0269760079246151</v>
      </c>
      <c r="G21" s="203">
        <f t="shared" si="8"/>
        <v>1.8380457041408567</v>
      </c>
      <c r="H21" s="203">
        <f t="shared" si="8"/>
        <v>1.8412855527908079</v>
      </c>
      <c r="I21" s="203">
        <f t="shared" si="8"/>
        <v>1.6188686560932031</v>
      </c>
      <c r="J21" s="203">
        <f t="shared" si="8"/>
        <v>1.7947677376272</v>
      </c>
    </row>
    <row r="22" spans="2:10" ht="16.5" customHeight="1" x14ac:dyDescent="0.3">
      <c r="B22" s="202" t="s">
        <v>227</v>
      </c>
      <c r="C22" s="206">
        <f>SUM(D15:J15)/SUM(D19:J19)</f>
        <v>1.7645909765255428</v>
      </c>
      <c r="D22" s="206"/>
      <c r="E22" s="206"/>
      <c r="F22" s="206"/>
      <c r="G22" s="206"/>
      <c r="H22" s="206"/>
      <c r="I22" s="206"/>
      <c r="J22" s="206"/>
    </row>
    <row r="24" spans="2:10" ht="15" x14ac:dyDescent="0.3">
      <c r="B24" s="188" t="s">
        <v>228</v>
      </c>
    </row>
    <row r="25" spans="2:10" x14ac:dyDescent="0.25">
      <c r="B25" s="189" t="s">
        <v>49</v>
      </c>
      <c r="C25" s="190">
        <f>'P&amp;L'!K34</f>
        <v>78.536684180000137</v>
      </c>
      <c r="D25" s="190">
        <f>'P&amp;L'!L34</f>
        <v>89.966509912788567</v>
      </c>
      <c r="E25" s="190">
        <f>'P&amp;L'!M34</f>
        <v>129.53574033275228</v>
      </c>
      <c r="F25" s="190">
        <f>'P&amp;L'!N34</f>
        <v>165.22393521976142</v>
      </c>
      <c r="G25" s="190">
        <f>'P&amp;L'!O34</f>
        <v>209.4436262735401</v>
      </c>
      <c r="H25" s="190">
        <f>'P&amp;L'!P34</f>
        <v>262.31735934635475</v>
      </c>
      <c r="I25" s="190">
        <f>'P&amp;L'!Q34</f>
        <v>311.01349979407161</v>
      </c>
      <c r="J25" s="190">
        <f>'P&amp;L'!R34</f>
        <v>380.42006762056417</v>
      </c>
    </row>
    <row r="26" spans="2:10" x14ac:dyDescent="0.25">
      <c r="B26" s="189" t="s">
        <v>229</v>
      </c>
      <c r="C26" s="190">
        <f>'P&amp;L'!K24</f>
        <v>8.1753</v>
      </c>
      <c r="D26" s="190">
        <f>'P&amp;L'!L24</f>
        <v>8.2855813548189943</v>
      </c>
      <c r="E26" s="190">
        <f>'P&amp;L'!M24</f>
        <v>8.6105813548189971</v>
      </c>
      <c r="F26" s="190">
        <f>'P&amp;L'!N24</f>
        <v>9.195581354818998</v>
      </c>
      <c r="G26" s="190">
        <f>'P&amp;L'!O24</f>
        <v>9.8455813548189965</v>
      </c>
      <c r="H26" s="190">
        <f>'P&amp;L'!P24</f>
        <v>10.560581354818993</v>
      </c>
      <c r="I26" s="190">
        <f>'P&amp;L'!Q24</f>
        <v>11.340581354818994</v>
      </c>
      <c r="J26" s="190">
        <f>'P&amp;L'!R24</f>
        <v>12.185581354818993</v>
      </c>
    </row>
    <row r="27" spans="2:10" x14ac:dyDescent="0.25">
      <c r="B27" s="189" t="s">
        <v>230</v>
      </c>
      <c r="C27" s="190">
        <f>'P&amp;L'!K26</f>
        <v>55.083999999999996</v>
      </c>
      <c r="D27" s="190">
        <f>'P&amp;L'!L26</f>
        <v>49.997762786810007</v>
      </c>
      <c r="E27" s="190">
        <f>'P&amp;L'!M26</f>
        <v>36.576220036583919</v>
      </c>
      <c r="F27" s="190">
        <f>'P&amp;L'!N26</f>
        <v>25.655168130186112</v>
      </c>
      <c r="G27" s="190">
        <f>'P&amp;L'!O26</f>
        <v>34.929883747109272</v>
      </c>
      <c r="H27" s="190">
        <f>'P&amp;L'!P26</f>
        <v>20.56756303244191</v>
      </c>
      <c r="I27" s="190">
        <f>'P&amp;L'!Q26</f>
        <v>27.506932824224464</v>
      </c>
      <c r="J27" s="190">
        <f>'P&amp;L'!R26</f>
        <v>34.284947220059621</v>
      </c>
    </row>
    <row r="28" spans="2:10" ht="15" x14ac:dyDescent="0.3">
      <c r="B28" s="188" t="s">
        <v>217</v>
      </c>
      <c r="C28" s="207">
        <f t="shared" ref="C28:I28" si="9">SUM(C25:C27)</f>
        <v>141.79598418000015</v>
      </c>
      <c r="D28" s="207">
        <f t="shared" si="9"/>
        <v>148.24985405441757</v>
      </c>
      <c r="E28" s="207">
        <f t="shared" si="9"/>
        <v>174.72254172415521</v>
      </c>
      <c r="F28" s="207">
        <f t="shared" si="9"/>
        <v>200.07468470476653</v>
      </c>
      <c r="G28" s="207">
        <f t="shared" si="9"/>
        <v>254.21909137546837</v>
      </c>
      <c r="H28" s="207">
        <f t="shared" si="9"/>
        <v>293.44550373361568</v>
      </c>
      <c r="I28" s="207">
        <f t="shared" si="9"/>
        <v>349.86101397311506</v>
      </c>
      <c r="J28" s="207">
        <f t="shared" ref="J28" si="10">SUM(J25:J27)</f>
        <v>426.89059619544275</v>
      </c>
    </row>
    <row r="30" spans="2:10" ht="15" x14ac:dyDescent="0.3">
      <c r="B30" s="188" t="s">
        <v>231</v>
      </c>
    </row>
    <row r="31" spans="2:10" x14ac:dyDescent="0.25">
      <c r="B31" s="189" t="s">
        <v>232</v>
      </c>
      <c r="C31" s="190">
        <v>1807.8159396840001</v>
      </c>
      <c r="D31" s="190">
        <f t="shared" ref="D31:J31" si="11">C35</f>
        <v>2948.3288000000002</v>
      </c>
      <c r="E31" s="190">
        <f t="shared" si="11"/>
        <v>3117.7967360000002</v>
      </c>
      <c r="F31" s="190">
        <f t="shared" si="11"/>
        <v>3723.4577152000002</v>
      </c>
      <c r="G31" s="190">
        <f t="shared" si="11"/>
        <v>4455.9204006400005</v>
      </c>
      <c r="H31" s="190">
        <f t="shared" si="11"/>
        <v>5516.9422904639996</v>
      </c>
      <c r="I31" s="190">
        <f t="shared" si="11"/>
        <v>5919.1653742784001</v>
      </c>
      <c r="J31" s="190">
        <f t="shared" si="11"/>
        <v>6982.8574932809606</v>
      </c>
    </row>
    <row r="32" spans="2:10" x14ac:dyDescent="0.25">
      <c r="B32" s="189" t="s">
        <v>233</v>
      </c>
      <c r="C32" s="190">
        <v>2193.46</v>
      </c>
      <c r="D32" s="190">
        <v>1250</v>
      </c>
      <c r="E32" s="190">
        <v>2060</v>
      </c>
      <c r="F32" s="190">
        <v>2470</v>
      </c>
      <c r="G32" s="190">
        <v>2960</v>
      </c>
      <c r="H32" s="190">
        <v>3550</v>
      </c>
      <c r="I32" s="190">
        <v>4260</v>
      </c>
      <c r="J32" s="190">
        <v>5110</v>
      </c>
    </row>
    <row r="33" spans="2:10" x14ac:dyDescent="0.25">
      <c r="C33" s="208"/>
      <c r="D33" s="208"/>
      <c r="E33" s="208"/>
      <c r="F33" s="209"/>
      <c r="G33" s="209"/>
      <c r="H33" s="209"/>
      <c r="I33" s="209"/>
      <c r="J33" s="209"/>
    </row>
    <row r="34" spans="2:10" x14ac:dyDescent="0.25">
      <c r="B34" s="189" t="s">
        <v>234</v>
      </c>
      <c r="C34" s="190">
        <v>48.129999999999995</v>
      </c>
      <c r="D34" s="190">
        <v>130</v>
      </c>
      <c r="E34" s="190">
        <v>210</v>
      </c>
      <c r="F34" s="190">
        <v>250</v>
      </c>
      <c r="G34" s="190">
        <v>150</v>
      </c>
      <c r="H34" s="190">
        <v>360</v>
      </c>
      <c r="I34" s="190">
        <v>430</v>
      </c>
      <c r="J34" s="190">
        <v>510</v>
      </c>
    </row>
    <row r="35" spans="2:10" x14ac:dyDescent="0.25">
      <c r="B35" s="189" t="s">
        <v>235</v>
      </c>
      <c r="C35" s="190">
        <f>SUM('BS '!K54,'BS '!K61,'BS '!K66)</f>
        <v>2948.3288000000002</v>
      </c>
      <c r="D35" s="190">
        <f>SUM('BS '!L54,'BS '!L61,'BS '!L66)</f>
        <v>3117.7967360000002</v>
      </c>
      <c r="E35" s="190">
        <f>SUM('BS '!M54,'BS '!M61,'BS '!M66)</f>
        <v>3723.4577152000002</v>
      </c>
      <c r="F35" s="190">
        <f>SUM('BS '!N54,'BS '!N61,'BS '!N66)</f>
        <v>4455.9204006400005</v>
      </c>
      <c r="G35" s="190">
        <f>SUM('BS '!O54,'BS '!O61,'BS '!O66)</f>
        <v>5516.9422904639996</v>
      </c>
      <c r="H35" s="190">
        <f>SUM('BS '!P54,'BS '!P61,'BS '!P66)</f>
        <v>5919.1653742784001</v>
      </c>
      <c r="I35" s="190">
        <f>SUM('BS '!Q54,'BS '!Q61,'BS '!Q66)</f>
        <v>6982.8574932809606</v>
      </c>
      <c r="J35" s="190">
        <f>SUM('BS '!R54,'BS '!R61,'BS '!R66)</f>
        <v>8308.2573706326257</v>
      </c>
    </row>
    <row r="36" spans="2:10" ht="15" x14ac:dyDescent="0.3">
      <c r="B36" s="188" t="s">
        <v>236</v>
      </c>
      <c r="C36" s="207">
        <f t="shared" ref="C36:J36" si="12">C31+C32-C34-C35+C33</f>
        <v>1004.8171396839998</v>
      </c>
      <c r="D36" s="207">
        <f t="shared" si="12"/>
        <v>950.53206399999999</v>
      </c>
      <c r="E36" s="207">
        <f t="shared" si="12"/>
        <v>1244.3390208000001</v>
      </c>
      <c r="F36" s="207">
        <f t="shared" si="12"/>
        <v>1487.5373145599997</v>
      </c>
      <c r="G36" s="207">
        <f t="shared" si="12"/>
        <v>1748.9781101760009</v>
      </c>
      <c r="H36" s="207">
        <f t="shared" si="12"/>
        <v>2787.7769161855995</v>
      </c>
      <c r="I36" s="207">
        <f t="shared" si="12"/>
        <v>2766.3078809974395</v>
      </c>
      <c r="J36" s="207">
        <f t="shared" si="12"/>
        <v>3274.6001226483349</v>
      </c>
    </row>
    <row r="38" spans="2:10" x14ac:dyDescent="0.25">
      <c r="B38" s="189" t="s">
        <v>237</v>
      </c>
      <c r="C38" s="190">
        <f>'P&amp;L'!K18</f>
        <v>222.50169999999997</v>
      </c>
      <c r="D38" s="190">
        <f>SUM('P&amp;L'!L18)</f>
        <v>227.69240350609903</v>
      </c>
      <c r="E38" s="190">
        <f>SUM('P&amp;L'!M18)</f>
        <v>263.89367250576413</v>
      </c>
      <c r="F38" s="190">
        <f>SUM('P&amp;L'!N18)</f>
        <v>322.28782168979041</v>
      </c>
      <c r="G38" s="190">
        <f>SUM('P&amp;L'!O18)</f>
        <v>382.78033419597057</v>
      </c>
      <c r="H38" s="190">
        <f>SUM('P&amp;L'!P18)</f>
        <v>435.77059192188887</v>
      </c>
      <c r="I38" s="190">
        <f>SUM('P&amp;L'!Q18)</f>
        <v>492.96369342688882</v>
      </c>
      <c r="J38" s="190">
        <f>SUM('P&amp;L'!R18)</f>
        <v>586.5424930555555</v>
      </c>
    </row>
    <row r="40" spans="2:10" x14ac:dyDescent="0.25">
      <c r="B40" s="189" t="s">
        <v>238</v>
      </c>
      <c r="C40" s="190">
        <v>801.67813212799956</v>
      </c>
      <c r="D40" s="190">
        <v>1036.1027014003996</v>
      </c>
      <c r="E40" s="190">
        <v>845.58871268797634</v>
      </c>
      <c r="F40" s="190">
        <v>854.11721777630305</v>
      </c>
      <c r="G40" s="190">
        <v>1197.0658726684444</v>
      </c>
      <c r="H40" s="190">
        <v>1731.2208333333333</v>
      </c>
      <c r="I40" s="190">
        <v>2048.333333333333</v>
      </c>
      <c r="J40" s="190">
        <v>2087.7777777777778</v>
      </c>
    </row>
    <row r="46" spans="2:10" x14ac:dyDescent="0.25">
      <c r="C46" s="201"/>
      <c r="D46" s="201"/>
      <c r="E46" s="201"/>
      <c r="F46" s="201"/>
      <c r="G46" s="201"/>
      <c r="H46" s="201"/>
      <c r="I46" s="201"/>
      <c r="J46" s="201"/>
    </row>
  </sheetData>
  <mergeCells count="2">
    <mergeCell ref="B8:B9"/>
    <mergeCell ref="C22:J22"/>
  </mergeCells>
  <printOptions gridLines="1"/>
  <pageMargins left="0.7" right="0.7" top="0.56000000000000005" bottom="0.75" header="0.3" footer="0.3"/>
  <pageSetup paperSize="9" scale="59" orientation="portrait" verticalDpi="300" r:id="rId1"/>
  <headerFooter>
    <oddHeader>&amp;L&amp;"Book Antiqua,Bold"CMA Data: Ess Kay Auto Finance Pvt. Ltd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Assumptions</vt:lpstr>
      <vt:lpstr>BS </vt:lpstr>
      <vt:lpstr>Cash Flow</vt:lpstr>
      <vt:lpstr>P&amp;L</vt:lpstr>
      <vt:lpstr>DSCR</vt:lpstr>
      <vt:lpstr>'BS '!Print_Area</vt:lpstr>
      <vt:lpstr>DSCR!Print_Area</vt:lpstr>
      <vt:lpstr>'P&amp;L'!Print_Area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Ankur Rastogi</dc:creator>
  <cp:lastModifiedBy>Ankur Rastogi</cp:lastModifiedBy>
  <dcterms:created xsi:type="dcterms:W3CDTF">2020-09-01T14:33:04Z</dcterms:created>
  <dcterms:modified xsi:type="dcterms:W3CDTF">2020-09-01T14:34:41Z</dcterms:modified>
</cp:coreProperties>
</file>